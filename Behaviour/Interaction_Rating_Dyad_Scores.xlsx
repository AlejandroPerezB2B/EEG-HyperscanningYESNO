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9c7726bc504792d/Documents/HyperYESNO/"/>
    </mc:Choice>
  </mc:AlternateContent>
  <xr:revisionPtr revIDLastSave="10" documentId="11_331EC1F890BC15BE1A552790D45C19A5148D1084" xr6:coauthVersionLast="47" xr6:coauthVersionMax="47" xr10:uidLastSave="{9E79FEC6-FBB4-4B37-9311-E2588E1BA6B9}"/>
  <bookViews>
    <workbookView xWindow="-98" yWindow="-98" windowWidth="21795" windowHeight="11625" activeTab="1" xr2:uid="{00000000-000D-0000-FFFF-FFFF00000000}"/>
  </bookViews>
  <sheets>
    <sheet name="Participants" sheetId="1" r:id="rId1"/>
    <sheet name="Dyad scores" sheetId="2" r:id="rId2"/>
    <sheet name="Absolute disagreement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D39" i="2"/>
  <c r="E39" i="2"/>
  <c r="F39" i="2"/>
  <c r="G39" i="2"/>
  <c r="H39" i="2"/>
  <c r="B39" i="2"/>
  <c r="C39" i="3"/>
  <c r="D39" i="3"/>
  <c r="E39" i="3"/>
  <c r="F39" i="3"/>
  <c r="G39" i="3"/>
  <c r="H39" i="3"/>
  <c r="B39" i="3"/>
  <c r="C38" i="2"/>
  <c r="D38" i="2"/>
  <c r="E38" i="2"/>
  <c r="F38" i="2"/>
  <c r="G38" i="2"/>
  <c r="H38" i="2"/>
  <c r="B38" i="2"/>
  <c r="C38" i="3"/>
  <c r="D38" i="3"/>
  <c r="E38" i="3"/>
  <c r="F38" i="3"/>
  <c r="G38" i="3"/>
  <c r="H38" i="3"/>
  <c r="B38" i="3"/>
  <c r="H36" i="3"/>
  <c r="G36" i="3"/>
  <c r="F36" i="3"/>
  <c r="E36" i="3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D34" i="3"/>
  <c r="C34" i="3"/>
  <c r="B34" i="3"/>
  <c r="H33" i="3"/>
  <c r="G33" i="3"/>
  <c r="F33" i="3"/>
  <c r="E33" i="3"/>
  <c r="D33" i="3"/>
  <c r="C33" i="3"/>
  <c r="B33" i="3"/>
  <c r="H32" i="3"/>
  <c r="G32" i="3"/>
  <c r="F32" i="3"/>
  <c r="E32" i="3"/>
  <c r="D32" i="3"/>
  <c r="C32" i="3"/>
  <c r="B32" i="3"/>
  <c r="H31" i="3"/>
  <c r="G31" i="3"/>
  <c r="F31" i="3"/>
  <c r="E31" i="3"/>
  <c r="D31" i="3"/>
  <c r="C31" i="3"/>
  <c r="B31" i="3"/>
  <c r="H30" i="3"/>
  <c r="G30" i="3"/>
  <c r="F30" i="3"/>
  <c r="E30" i="3"/>
  <c r="D30" i="3"/>
  <c r="C30" i="3"/>
  <c r="B30" i="3"/>
  <c r="H29" i="3"/>
  <c r="G29" i="3"/>
  <c r="F29" i="3"/>
  <c r="E29" i="3"/>
  <c r="D29" i="3"/>
  <c r="C29" i="3"/>
  <c r="B29" i="3"/>
  <c r="H28" i="3"/>
  <c r="G28" i="3"/>
  <c r="F28" i="3"/>
  <c r="E28" i="3"/>
  <c r="D28" i="3"/>
  <c r="C28" i="3"/>
  <c r="B28" i="3"/>
  <c r="H27" i="3"/>
  <c r="G27" i="3"/>
  <c r="F27" i="3"/>
  <c r="E27" i="3"/>
  <c r="D27" i="3"/>
  <c r="C27" i="3"/>
  <c r="B27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C29" i="2"/>
  <c r="B29" i="2"/>
  <c r="H28" i="2"/>
  <c r="G28" i="2"/>
  <c r="F28" i="2"/>
  <c r="E28" i="2"/>
  <c r="D28" i="2"/>
  <c r="C28" i="2"/>
  <c r="B28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H25" i="2"/>
  <c r="G25" i="2"/>
  <c r="F25" i="2"/>
  <c r="E25" i="2"/>
  <c r="D25" i="2"/>
  <c r="C25" i="2"/>
  <c r="B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H3" i="2"/>
  <c r="G3" i="2"/>
  <c r="F3" i="2"/>
  <c r="E3" i="2"/>
  <c r="D3" i="2"/>
  <c r="C3" i="2"/>
  <c r="B3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<sst xmlns="http://schemas.openxmlformats.org/spreadsheetml/2006/main" count="176" uniqueCount="125">
  <si>
    <t>Participant</t>
  </si>
  <si>
    <t>Q1</t>
  </si>
  <si>
    <t>Q2</t>
  </si>
  <si>
    <t>Q3</t>
  </si>
  <si>
    <t>Q4</t>
  </si>
  <si>
    <t>Q5</t>
  </si>
  <si>
    <t>Q6</t>
  </si>
  <si>
    <t>Q7</t>
  </si>
  <si>
    <t>35A</t>
  </si>
  <si>
    <t>35B</t>
  </si>
  <si>
    <t>34A</t>
  </si>
  <si>
    <t>34B</t>
  </si>
  <si>
    <t>33A</t>
  </si>
  <si>
    <t>33B</t>
  </si>
  <si>
    <t>32A</t>
  </si>
  <si>
    <t>32B</t>
  </si>
  <si>
    <t>31A</t>
  </si>
  <si>
    <t>31B</t>
  </si>
  <si>
    <t>30A</t>
  </si>
  <si>
    <t>30B</t>
  </si>
  <si>
    <t>29A</t>
  </si>
  <si>
    <t>29B</t>
  </si>
  <si>
    <t>28A</t>
  </si>
  <si>
    <t>28B</t>
  </si>
  <si>
    <t>27A</t>
  </si>
  <si>
    <t>27B</t>
  </si>
  <si>
    <t>26A</t>
  </si>
  <si>
    <t>26B</t>
  </si>
  <si>
    <t>25A</t>
  </si>
  <si>
    <t>25B</t>
  </si>
  <si>
    <t>24A</t>
  </si>
  <si>
    <t>24B</t>
  </si>
  <si>
    <t>23A</t>
  </si>
  <si>
    <t>23B</t>
  </si>
  <si>
    <t>22A</t>
  </si>
  <si>
    <t>22B</t>
  </si>
  <si>
    <t>21A</t>
  </si>
  <si>
    <t>21B</t>
  </si>
  <si>
    <t>20A</t>
  </si>
  <si>
    <t>20B</t>
  </si>
  <si>
    <t>19A</t>
  </si>
  <si>
    <t>19B</t>
  </si>
  <si>
    <t>18A</t>
  </si>
  <si>
    <t>18B</t>
  </si>
  <si>
    <t>17A</t>
  </si>
  <si>
    <t>17B</t>
  </si>
  <si>
    <t>16A</t>
  </si>
  <si>
    <t>16B</t>
  </si>
  <si>
    <t>15A</t>
  </si>
  <si>
    <t>15B</t>
  </si>
  <si>
    <t>14A</t>
  </si>
  <si>
    <t>14B</t>
  </si>
  <si>
    <t>13A</t>
  </si>
  <si>
    <t>13B</t>
  </si>
  <si>
    <t>12A</t>
  </si>
  <si>
    <t>12B</t>
  </si>
  <si>
    <t>11A</t>
  </si>
  <si>
    <t>11B</t>
  </si>
  <si>
    <t>10A</t>
  </si>
  <si>
    <t>10B</t>
  </si>
  <si>
    <t>09A</t>
  </si>
  <si>
    <t>09B</t>
  </si>
  <si>
    <t>08A</t>
  </si>
  <si>
    <t>08B</t>
  </si>
  <si>
    <t>07A</t>
  </si>
  <si>
    <t>07B</t>
  </si>
  <si>
    <t>06A</t>
  </si>
  <si>
    <t>06B</t>
  </si>
  <si>
    <t>05A</t>
  </si>
  <si>
    <t>05B</t>
  </si>
  <si>
    <t>04A</t>
  </si>
  <si>
    <t>04B</t>
  </si>
  <si>
    <t>03A</t>
  </si>
  <si>
    <t>03B</t>
  </si>
  <si>
    <t>02A</t>
  </si>
  <si>
    <t>02B</t>
  </si>
  <si>
    <t>01A</t>
  </si>
  <si>
    <t>01B</t>
  </si>
  <si>
    <t>Dyad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</si>
  <si>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</si>
  <si>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</si>
  <si>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</si>
  <si>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</si>
  <si>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</si>
  <si>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</si>
  <si>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</si>
  <si>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</si>
  <si>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</si>
  <si>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</si>
  <si>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</si>
  <si>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</si>
  <si>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</si>
  <si>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</si>
  <si>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</si>
  <si>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</si>
  <si>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</si>
  <si>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</si>
  <si>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</si>
  <si>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</si>
  <si>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</si>
  <si>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</si>
  <si>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</si>
  <si>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</si>
  <si>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</si>
  <si>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</si>
  <si>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</si>
  <si>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</si>
  <si>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</si>
  <si>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</si>
  <si>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</si>
  <si>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</si>
  <si>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</si>
  <si>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</si>
  <si>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</si>
  <si>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Point</t>
  </si>
  <si>
    <t>Interpretation</t>
  </si>
  <si>
    <t>Dyad score</t>
  </si>
  <si>
    <t>For each item, the conventional median of two participant ratings equals their arithmetic mean.</t>
  </si>
  <si>
    <t>Example</t>
  </si>
  <si>
    <t>Ratings 3 and 5 produce median = 4 and mean = 4.</t>
  </si>
  <si>
    <t>Recommended use</t>
  </si>
  <si>
    <t>Use the dyad score as the overall dyad-level perception and retain the absolute A-B difference as a separate measure of within-dyad disagreement.</t>
  </si>
  <si>
    <t>Q5 is negatively worded. Reverse-code it only when constructing a positive overall interaction-quality composite; do not reverse it for item-level analyses.</t>
  </si>
  <si>
    <t>ave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</si>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</sst>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5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Ratings" displayName="ParticipantRatings" ref="A1:H71">
  <tableColumns count="8">
    <tableColumn id="1" xr3:uid="{00000000-0010-0000-0000-000001000000}" name="Participant"/>
    <tableColumn id="2" xr3:uid="{00000000-0010-0000-0000-000002000000}" name="Q1"/>
    <tableColumn id="3" xr3:uid="{00000000-0010-0000-0000-000003000000}" name="Q2"/>
    <tableColumn id="4" xr3:uid="{00000000-0010-0000-0000-000004000000}" name="Q3"/>
    <tableColumn id="5" xr3:uid="{00000000-0010-0000-0000-000005000000}" name="Q4"/>
    <tableColumn id="6" xr3:uid="{00000000-0010-0000-0000-000006000000}" name="Q5"/>
    <tableColumn id="7" xr3:uid="{00000000-0010-0000-0000-000007000000}" name="Q6"/>
    <tableColumn id="8" xr3:uid="{00000000-0010-0000-0000-000008000000}" name="Q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yadScoresTable" displayName="DyadScoresTable" ref="A1:H36">
  <tableColumns count="8">
    <tableColumn id="1" xr3:uid="{00000000-0010-0000-0100-000001000000}" name="Dyad"/>
    <tableColumn id="2" xr3:uid="{00000000-0010-0000-0100-000002000000}" name="Q1"/>
    <tableColumn id="3" xr3:uid="{00000000-0010-0000-0100-000003000000}" name="Q2"/>
    <tableColumn id="4" xr3:uid="{00000000-0010-0000-0100-000004000000}" name="Q3"/>
    <tableColumn id="5" xr3:uid="{00000000-0010-0000-0100-000005000000}" name="Q4"/>
    <tableColumn id="6" xr3:uid="{00000000-0010-0000-0100-000006000000}" name="Q5"/>
    <tableColumn id="7" xr3:uid="{00000000-0010-0000-0100-000007000000}" name="Q6"/>
    <tableColumn id="8" xr3:uid="{00000000-0010-0000-0100-000008000000}" name="Q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yadDisagreementTable" displayName="DyadDisagreementTable" ref="A1:H36">
  <tableColumns count="8">
    <tableColumn id="1" xr3:uid="{00000000-0010-0000-0200-000001000000}" name="Dyad"/>
    <tableColumn id="2" xr3:uid="{00000000-0010-0000-0200-000002000000}" name="Q1"/>
    <tableColumn id="3" xr3:uid="{00000000-0010-0000-0200-000003000000}" name="Q2"/>
    <tableColumn id="4" xr3:uid="{00000000-0010-0000-0200-000004000000}" name="Q3"/>
    <tableColumn id="5" xr3:uid="{00000000-0010-0000-0200-000005000000}" name="Q4"/>
    <tableColumn id="6" xr3:uid="{00000000-0010-0000-0200-000006000000}" name="Q5"/>
    <tableColumn id="7" xr3:uid="{00000000-0010-0000-0200-000007000000}" name="Q6"/>
    <tableColumn id="8" xr3:uid="{00000000-0010-0000-0200-000008000000}" name="Q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opLeftCell="A54" workbookViewId="0"/>
  </sheetViews>
  <sheetFormatPr baseColWidth="10" defaultColWidth="9" defaultRowHeight="13.5"/>
  <cols>
    <col min="1" max="1" width="13" customWidth="1"/>
    <col min="2" max="8" width="8" customWidth="1"/>
  </cols>
  <sheetData>
    <row r="1" spans="1:8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3</v>
      </c>
      <c r="C2" s="2">
        <v>4</v>
      </c>
      <c r="D2" s="2">
        <v>4</v>
      </c>
      <c r="E2" s="2">
        <v>5</v>
      </c>
      <c r="F2" s="2">
        <v>2</v>
      </c>
      <c r="G2" s="2">
        <v>4</v>
      </c>
      <c r="H2" s="2">
        <v>4</v>
      </c>
    </row>
    <row r="3" spans="1:8">
      <c r="A3" t="s">
        <v>9</v>
      </c>
      <c r="B3" s="2">
        <v>5</v>
      </c>
      <c r="C3" s="2">
        <v>5</v>
      </c>
      <c r="D3" s="2">
        <v>5</v>
      </c>
      <c r="E3" s="2">
        <v>4</v>
      </c>
      <c r="F3" s="2">
        <v>4</v>
      </c>
      <c r="G3" s="2">
        <v>4</v>
      </c>
      <c r="H3" s="2">
        <v>5</v>
      </c>
    </row>
    <row r="4" spans="1:8">
      <c r="A4" t="s">
        <v>10</v>
      </c>
      <c r="B4" s="2">
        <v>5</v>
      </c>
      <c r="C4" s="2">
        <v>4</v>
      </c>
      <c r="D4" s="2">
        <v>4</v>
      </c>
      <c r="E4" s="2">
        <v>5</v>
      </c>
      <c r="F4" s="2">
        <v>3</v>
      </c>
      <c r="G4" s="2">
        <v>5</v>
      </c>
      <c r="H4" s="2">
        <v>5</v>
      </c>
    </row>
    <row r="5" spans="1:8">
      <c r="A5" t="s">
        <v>11</v>
      </c>
      <c r="B5" s="2">
        <v>4</v>
      </c>
      <c r="C5" s="2">
        <v>4</v>
      </c>
      <c r="D5" s="2">
        <v>4</v>
      </c>
      <c r="E5" s="2">
        <v>4</v>
      </c>
      <c r="F5" s="2">
        <v>2</v>
      </c>
      <c r="G5" s="2">
        <v>4</v>
      </c>
      <c r="H5" s="2">
        <v>4</v>
      </c>
    </row>
    <row r="6" spans="1:8">
      <c r="A6" t="s">
        <v>12</v>
      </c>
      <c r="B6" s="2">
        <v>4</v>
      </c>
      <c r="C6" s="2">
        <v>4</v>
      </c>
      <c r="D6" s="2">
        <v>5</v>
      </c>
      <c r="E6" s="2">
        <v>4</v>
      </c>
      <c r="F6" s="2">
        <v>2</v>
      </c>
      <c r="G6" s="2">
        <v>3</v>
      </c>
      <c r="H6" s="2">
        <v>5</v>
      </c>
    </row>
    <row r="7" spans="1:8">
      <c r="A7" t="s">
        <v>13</v>
      </c>
      <c r="B7" s="2">
        <v>5</v>
      </c>
      <c r="C7" s="2">
        <v>4</v>
      </c>
      <c r="D7" s="2">
        <v>4</v>
      </c>
      <c r="E7" s="2">
        <v>4</v>
      </c>
      <c r="F7" s="2">
        <v>1</v>
      </c>
      <c r="G7" s="2">
        <v>4</v>
      </c>
      <c r="H7" s="2">
        <v>5</v>
      </c>
    </row>
    <row r="8" spans="1:8">
      <c r="A8" t="s">
        <v>14</v>
      </c>
      <c r="B8" s="2">
        <v>4</v>
      </c>
      <c r="C8" s="2">
        <v>4</v>
      </c>
      <c r="D8" s="2">
        <v>3</v>
      </c>
      <c r="E8" s="2">
        <v>3</v>
      </c>
      <c r="F8" s="2">
        <v>3</v>
      </c>
      <c r="G8" s="2">
        <v>4</v>
      </c>
      <c r="H8" s="2">
        <v>5</v>
      </c>
    </row>
    <row r="9" spans="1:8">
      <c r="A9" t="s">
        <v>15</v>
      </c>
      <c r="B9" s="2">
        <v>1</v>
      </c>
      <c r="C9" s="2">
        <v>2</v>
      </c>
      <c r="D9" s="2">
        <v>2</v>
      </c>
      <c r="E9" s="2">
        <v>3</v>
      </c>
      <c r="F9" s="2">
        <v>4</v>
      </c>
      <c r="G9" s="2">
        <v>4</v>
      </c>
      <c r="H9" s="2">
        <v>4</v>
      </c>
    </row>
    <row r="10" spans="1:8">
      <c r="A10" t="s">
        <v>16</v>
      </c>
      <c r="B10" s="2">
        <v>3</v>
      </c>
      <c r="C10" s="2">
        <v>4</v>
      </c>
      <c r="D10" s="2">
        <v>3</v>
      </c>
      <c r="E10" s="2">
        <v>4</v>
      </c>
      <c r="F10" s="2">
        <v>4</v>
      </c>
      <c r="G10" s="2">
        <v>4</v>
      </c>
      <c r="H10" s="2">
        <v>4</v>
      </c>
    </row>
    <row r="11" spans="1:8">
      <c r="A11" t="s">
        <v>17</v>
      </c>
      <c r="B11" s="2">
        <v>5</v>
      </c>
      <c r="C11" s="2">
        <v>5</v>
      </c>
      <c r="D11" s="2">
        <v>4</v>
      </c>
      <c r="E11" s="2">
        <v>5</v>
      </c>
      <c r="F11" s="2">
        <v>4</v>
      </c>
      <c r="G11" s="2">
        <v>5</v>
      </c>
      <c r="H11" s="2">
        <v>5</v>
      </c>
    </row>
    <row r="12" spans="1:8">
      <c r="A12" t="s">
        <v>18</v>
      </c>
      <c r="B12" s="2">
        <v>5</v>
      </c>
      <c r="C12" s="2">
        <v>4</v>
      </c>
      <c r="D12" s="2">
        <v>3</v>
      </c>
      <c r="E12" s="2">
        <v>4</v>
      </c>
      <c r="F12" s="2">
        <v>4</v>
      </c>
      <c r="G12" s="2">
        <v>4</v>
      </c>
      <c r="H12" s="2">
        <v>5</v>
      </c>
    </row>
    <row r="13" spans="1:8">
      <c r="A13" t="s">
        <v>19</v>
      </c>
      <c r="B13" s="2">
        <v>5</v>
      </c>
      <c r="C13" s="2">
        <v>5</v>
      </c>
      <c r="D13" s="2">
        <v>4</v>
      </c>
      <c r="E13" s="2">
        <v>5</v>
      </c>
      <c r="F13" s="2">
        <v>4</v>
      </c>
      <c r="G13" s="2">
        <v>4</v>
      </c>
      <c r="H13" s="2">
        <v>5</v>
      </c>
    </row>
    <row r="14" spans="1:8">
      <c r="A14" t="s">
        <v>20</v>
      </c>
      <c r="B14" s="2">
        <v>5</v>
      </c>
      <c r="C14" s="2">
        <v>4</v>
      </c>
      <c r="D14" s="2">
        <v>4</v>
      </c>
      <c r="E14" s="2">
        <v>3</v>
      </c>
      <c r="F14" s="2">
        <v>3</v>
      </c>
      <c r="G14" s="2">
        <v>3</v>
      </c>
      <c r="H14" s="2">
        <v>5</v>
      </c>
    </row>
    <row r="15" spans="1:8">
      <c r="A15" t="s">
        <v>21</v>
      </c>
      <c r="B15" s="2">
        <v>2</v>
      </c>
      <c r="C15" s="2">
        <v>4</v>
      </c>
      <c r="D15" s="2">
        <v>3</v>
      </c>
      <c r="E15" s="2">
        <v>4</v>
      </c>
      <c r="F15" s="2">
        <v>4</v>
      </c>
      <c r="G15" s="2">
        <v>3</v>
      </c>
      <c r="H15" s="2">
        <v>4</v>
      </c>
    </row>
    <row r="16" spans="1:8">
      <c r="A16" t="s">
        <v>22</v>
      </c>
      <c r="B16" s="2">
        <v>2</v>
      </c>
      <c r="C16" s="2">
        <v>4</v>
      </c>
      <c r="D16" s="2">
        <v>2</v>
      </c>
      <c r="E16" s="2">
        <v>4</v>
      </c>
      <c r="F16" s="2">
        <v>4</v>
      </c>
      <c r="G16" s="2">
        <v>4</v>
      </c>
      <c r="H16" s="2">
        <v>5</v>
      </c>
    </row>
    <row r="17" spans="1:8">
      <c r="A17" t="s">
        <v>23</v>
      </c>
      <c r="B17" s="2">
        <v>4</v>
      </c>
      <c r="C17" s="2">
        <v>4</v>
      </c>
      <c r="D17" s="2">
        <v>4</v>
      </c>
      <c r="E17" s="2">
        <v>3</v>
      </c>
      <c r="F17" s="2">
        <v>4</v>
      </c>
      <c r="G17" s="2">
        <v>3</v>
      </c>
      <c r="H17" s="2">
        <v>5</v>
      </c>
    </row>
    <row r="18" spans="1:8">
      <c r="A18" t="s">
        <v>24</v>
      </c>
      <c r="B18" s="2">
        <v>4</v>
      </c>
      <c r="C18" s="2">
        <v>3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</row>
    <row r="19" spans="1:8">
      <c r="A19" t="s">
        <v>25</v>
      </c>
      <c r="B19" s="2">
        <v>3</v>
      </c>
      <c r="C19" s="2">
        <v>5</v>
      </c>
      <c r="D19" s="2">
        <v>4</v>
      </c>
      <c r="E19" s="2">
        <v>4</v>
      </c>
      <c r="F19" s="2">
        <v>4</v>
      </c>
      <c r="G19" s="2">
        <v>3</v>
      </c>
      <c r="H19" s="2">
        <v>4</v>
      </c>
    </row>
    <row r="20" spans="1:8">
      <c r="A20" t="s">
        <v>26</v>
      </c>
      <c r="B20" s="2">
        <v>4</v>
      </c>
      <c r="C20" s="2">
        <v>4</v>
      </c>
      <c r="D20" s="2">
        <v>4</v>
      </c>
      <c r="E20" s="2">
        <v>5</v>
      </c>
      <c r="F20" s="2">
        <v>5</v>
      </c>
      <c r="G20" s="2">
        <v>4</v>
      </c>
      <c r="H20" s="2">
        <v>5</v>
      </c>
    </row>
    <row r="21" spans="1:8">
      <c r="A21" t="s">
        <v>27</v>
      </c>
      <c r="B21" s="2">
        <v>5</v>
      </c>
      <c r="C21" s="2">
        <v>4</v>
      </c>
      <c r="D21" s="2">
        <v>4</v>
      </c>
      <c r="E21" s="2">
        <v>5</v>
      </c>
      <c r="F21" s="2">
        <v>5</v>
      </c>
      <c r="G21" s="2">
        <v>3</v>
      </c>
      <c r="H21" s="2">
        <v>5</v>
      </c>
    </row>
    <row r="22" spans="1:8">
      <c r="A22" t="s">
        <v>28</v>
      </c>
      <c r="B22" s="2">
        <v>4</v>
      </c>
      <c r="C22" s="2">
        <v>4</v>
      </c>
      <c r="D22" s="2">
        <v>5</v>
      </c>
      <c r="E22" s="2">
        <v>5</v>
      </c>
      <c r="F22" s="2">
        <v>3</v>
      </c>
      <c r="G22" s="2">
        <v>4</v>
      </c>
      <c r="H22" s="2">
        <v>4</v>
      </c>
    </row>
    <row r="23" spans="1:8">
      <c r="A23" t="s">
        <v>29</v>
      </c>
      <c r="B23" s="2">
        <v>2</v>
      </c>
      <c r="C23" s="2">
        <v>4</v>
      </c>
      <c r="D23" s="2">
        <v>4</v>
      </c>
      <c r="E23" s="2">
        <v>5</v>
      </c>
      <c r="F23" s="2">
        <v>4</v>
      </c>
      <c r="G23" s="2">
        <v>4</v>
      </c>
      <c r="H23" s="2">
        <v>4</v>
      </c>
    </row>
    <row r="24" spans="1:8">
      <c r="A24" t="s">
        <v>30</v>
      </c>
      <c r="B24" s="2">
        <v>5</v>
      </c>
      <c r="C24" s="2">
        <v>5</v>
      </c>
      <c r="D24" s="2">
        <v>4</v>
      </c>
      <c r="E24" s="2">
        <v>5</v>
      </c>
      <c r="F24" s="2">
        <v>2</v>
      </c>
      <c r="G24" s="2">
        <v>3</v>
      </c>
      <c r="H24" s="2">
        <v>5</v>
      </c>
    </row>
    <row r="25" spans="1:8">
      <c r="A25" t="s">
        <v>31</v>
      </c>
      <c r="B25" s="2">
        <v>5</v>
      </c>
      <c r="C25" s="2">
        <v>4</v>
      </c>
      <c r="D25" s="2">
        <v>5</v>
      </c>
      <c r="E25" s="2">
        <v>5</v>
      </c>
      <c r="F25" s="2">
        <v>2</v>
      </c>
      <c r="G25" s="2">
        <v>5</v>
      </c>
      <c r="H25" s="2">
        <v>5</v>
      </c>
    </row>
    <row r="26" spans="1:8">
      <c r="A26" t="s">
        <v>32</v>
      </c>
      <c r="B26" s="2">
        <v>4</v>
      </c>
      <c r="C26" s="2">
        <v>4</v>
      </c>
      <c r="D26" s="2">
        <v>3</v>
      </c>
      <c r="E26" s="2">
        <v>4</v>
      </c>
      <c r="F26" s="2">
        <v>3</v>
      </c>
      <c r="G26" s="2">
        <v>4</v>
      </c>
      <c r="H26" s="2">
        <v>5</v>
      </c>
    </row>
    <row r="27" spans="1:8">
      <c r="A27" t="s">
        <v>33</v>
      </c>
      <c r="B27" s="2">
        <v>4</v>
      </c>
      <c r="C27" s="2">
        <v>3</v>
      </c>
      <c r="D27" s="2">
        <v>3</v>
      </c>
      <c r="E27" s="2">
        <v>4</v>
      </c>
      <c r="F27" s="2">
        <v>4</v>
      </c>
      <c r="G27" s="2">
        <v>3</v>
      </c>
      <c r="H27" s="2">
        <v>4</v>
      </c>
    </row>
    <row r="28" spans="1:8">
      <c r="A28" t="s">
        <v>34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2">
        <v>4</v>
      </c>
      <c r="H28" s="2">
        <v>5</v>
      </c>
    </row>
    <row r="29" spans="1:8">
      <c r="A29" t="s">
        <v>35</v>
      </c>
      <c r="B29" s="2">
        <v>4</v>
      </c>
      <c r="C29" s="2">
        <v>4</v>
      </c>
      <c r="D29" s="2">
        <v>4</v>
      </c>
      <c r="E29" s="2">
        <v>5</v>
      </c>
      <c r="F29" s="2">
        <v>4</v>
      </c>
      <c r="G29" s="2">
        <v>5</v>
      </c>
      <c r="H29" s="2">
        <v>5</v>
      </c>
    </row>
    <row r="30" spans="1:8">
      <c r="A30" t="s">
        <v>36</v>
      </c>
      <c r="B30" s="2">
        <v>5</v>
      </c>
      <c r="C30" s="2">
        <v>3</v>
      </c>
      <c r="D30" s="2">
        <v>3</v>
      </c>
      <c r="E30" s="2">
        <v>5</v>
      </c>
      <c r="F30" s="2">
        <v>2</v>
      </c>
      <c r="G30" s="2">
        <v>4</v>
      </c>
      <c r="H30" s="2">
        <v>5</v>
      </c>
    </row>
    <row r="31" spans="1:8">
      <c r="A31" t="s">
        <v>37</v>
      </c>
      <c r="B31" s="2">
        <v>4</v>
      </c>
      <c r="C31" s="2">
        <v>4</v>
      </c>
      <c r="D31" s="2">
        <v>4</v>
      </c>
      <c r="E31" s="2">
        <v>4</v>
      </c>
      <c r="F31" s="2">
        <v>5</v>
      </c>
      <c r="G31" s="2">
        <v>4</v>
      </c>
      <c r="H31" s="2">
        <v>5</v>
      </c>
    </row>
    <row r="32" spans="1:8">
      <c r="A32" t="s">
        <v>38</v>
      </c>
      <c r="B32" s="2">
        <v>4</v>
      </c>
      <c r="C32" s="2">
        <v>4</v>
      </c>
      <c r="D32" s="2">
        <v>4</v>
      </c>
      <c r="E32" s="2">
        <v>4</v>
      </c>
      <c r="F32" s="2">
        <v>2</v>
      </c>
      <c r="G32" s="2">
        <v>3</v>
      </c>
      <c r="H32" s="2">
        <v>5</v>
      </c>
    </row>
    <row r="33" spans="1:8">
      <c r="A33" t="s">
        <v>39</v>
      </c>
      <c r="B33" s="2">
        <v>5</v>
      </c>
      <c r="C33" s="2">
        <v>5</v>
      </c>
      <c r="D33" s="2">
        <v>5</v>
      </c>
      <c r="E33" s="2">
        <v>4</v>
      </c>
      <c r="F33" s="2">
        <v>3</v>
      </c>
      <c r="G33" s="2">
        <v>5</v>
      </c>
      <c r="H33" s="2">
        <v>5</v>
      </c>
    </row>
    <row r="34" spans="1:8">
      <c r="A34" t="s">
        <v>40</v>
      </c>
      <c r="B34" s="2">
        <v>5</v>
      </c>
      <c r="C34" s="2">
        <v>4</v>
      </c>
      <c r="D34" s="2">
        <v>2</v>
      </c>
      <c r="E34" s="2">
        <v>5</v>
      </c>
      <c r="F34" s="2">
        <v>5</v>
      </c>
      <c r="G34" s="2">
        <v>5</v>
      </c>
      <c r="H34" s="2">
        <v>5</v>
      </c>
    </row>
    <row r="35" spans="1:8">
      <c r="A35" t="s">
        <v>41</v>
      </c>
      <c r="B35" s="2">
        <v>5</v>
      </c>
      <c r="C35" s="2">
        <v>5</v>
      </c>
      <c r="D35" s="2">
        <v>2</v>
      </c>
      <c r="E35" s="2">
        <v>5</v>
      </c>
      <c r="F35" s="2">
        <v>5</v>
      </c>
      <c r="G35" s="2">
        <v>5</v>
      </c>
      <c r="H35" s="2">
        <v>5</v>
      </c>
    </row>
    <row r="36" spans="1:8">
      <c r="A36" t="s">
        <v>42</v>
      </c>
      <c r="B36" s="2">
        <v>5</v>
      </c>
      <c r="C36" s="2">
        <v>5</v>
      </c>
      <c r="D36" s="2">
        <v>3</v>
      </c>
      <c r="E36" s="2">
        <v>5</v>
      </c>
      <c r="F36" s="2">
        <v>4</v>
      </c>
      <c r="G36" s="2">
        <v>4</v>
      </c>
      <c r="H36" s="2">
        <v>5</v>
      </c>
    </row>
    <row r="37" spans="1:8">
      <c r="A37" t="s">
        <v>43</v>
      </c>
      <c r="B37" s="2">
        <v>5</v>
      </c>
      <c r="C37" s="2">
        <v>5</v>
      </c>
      <c r="D37" s="2">
        <v>3</v>
      </c>
      <c r="E37" s="2">
        <v>5</v>
      </c>
      <c r="F37" s="2">
        <v>4</v>
      </c>
      <c r="G37" s="2">
        <v>3</v>
      </c>
      <c r="H37" s="2">
        <v>5</v>
      </c>
    </row>
    <row r="38" spans="1:8">
      <c r="A38" t="s">
        <v>44</v>
      </c>
      <c r="B38" s="2">
        <v>2</v>
      </c>
      <c r="C38" s="2">
        <v>5</v>
      </c>
      <c r="D38" s="2">
        <v>4</v>
      </c>
      <c r="E38" s="2">
        <v>5</v>
      </c>
      <c r="F38" s="2">
        <v>4</v>
      </c>
      <c r="G38" s="2">
        <v>4</v>
      </c>
      <c r="H38" s="2">
        <v>5</v>
      </c>
    </row>
    <row r="39" spans="1:8">
      <c r="A39" t="s">
        <v>45</v>
      </c>
      <c r="B39" s="2">
        <v>2</v>
      </c>
      <c r="C39" s="2">
        <v>4</v>
      </c>
      <c r="D39" s="2">
        <v>5</v>
      </c>
      <c r="E39" s="2">
        <v>5</v>
      </c>
      <c r="F39" s="2">
        <v>3</v>
      </c>
      <c r="G39" s="2">
        <v>5</v>
      </c>
      <c r="H39" s="2">
        <v>5</v>
      </c>
    </row>
    <row r="40" spans="1:8">
      <c r="A40" t="s">
        <v>46</v>
      </c>
      <c r="B40" s="2">
        <v>3</v>
      </c>
      <c r="C40" s="2">
        <v>4</v>
      </c>
      <c r="D40" s="2">
        <v>2</v>
      </c>
      <c r="E40" s="2">
        <v>5</v>
      </c>
      <c r="F40" s="2">
        <v>4</v>
      </c>
      <c r="G40" s="2">
        <v>3</v>
      </c>
      <c r="H40" s="2">
        <v>3</v>
      </c>
    </row>
    <row r="41" spans="1:8">
      <c r="A41" t="s">
        <v>47</v>
      </c>
      <c r="B41" s="2">
        <v>5</v>
      </c>
      <c r="C41" s="2">
        <v>3</v>
      </c>
      <c r="D41" s="2">
        <v>3</v>
      </c>
      <c r="E41" s="2">
        <v>4</v>
      </c>
      <c r="F41" s="2">
        <v>4</v>
      </c>
      <c r="G41" s="2">
        <v>2</v>
      </c>
      <c r="H41" s="2">
        <v>4</v>
      </c>
    </row>
    <row r="42" spans="1:8">
      <c r="A42" t="s">
        <v>48</v>
      </c>
      <c r="B42" s="2">
        <v>4</v>
      </c>
      <c r="C42" s="2">
        <v>3</v>
      </c>
      <c r="D42" s="2">
        <v>4</v>
      </c>
      <c r="E42" s="2">
        <v>4</v>
      </c>
      <c r="F42" s="2">
        <v>3</v>
      </c>
      <c r="G42" s="2">
        <v>4</v>
      </c>
      <c r="H42" s="2">
        <v>4</v>
      </c>
    </row>
    <row r="43" spans="1:8">
      <c r="A43" t="s">
        <v>49</v>
      </c>
      <c r="B43" s="2">
        <v>4</v>
      </c>
      <c r="C43" s="2">
        <v>3</v>
      </c>
      <c r="D43" s="2">
        <v>3</v>
      </c>
      <c r="E43" s="2">
        <v>4</v>
      </c>
      <c r="F43" s="2">
        <v>4</v>
      </c>
      <c r="G43" s="2">
        <v>4</v>
      </c>
      <c r="H43" s="2">
        <v>4</v>
      </c>
    </row>
    <row r="44" spans="1:8">
      <c r="A44" t="s">
        <v>50</v>
      </c>
      <c r="B44" s="2">
        <v>2</v>
      </c>
      <c r="C44" s="2">
        <v>2</v>
      </c>
      <c r="D44" s="2">
        <v>2</v>
      </c>
      <c r="E44" s="2">
        <v>4</v>
      </c>
      <c r="F44" s="2">
        <v>4</v>
      </c>
      <c r="G44" s="2">
        <v>2</v>
      </c>
      <c r="H44" s="2">
        <v>4</v>
      </c>
    </row>
    <row r="45" spans="1:8">
      <c r="A45" t="s">
        <v>51</v>
      </c>
      <c r="B45" s="2">
        <v>3</v>
      </c>
      <c r="C45" s="2">
        <v>3</v>
      </c>
      <c r="D45" s="2">
        <v>4</v>
      </c>
      <c r="E45" s="2">
        <v>4</v>
      </c>
      <c r="F45" s="2">
        <v>4</v>
      </c>
      <c r="G45" s="2">
        <v>3</v>
      </c>
      <c r="H45" s="2">
        <v>4</v>
      </c>
    </row>
    <row r="46" spans="1:8">
      <c r="A46" t="s">
        <v>52</v>
      </c>
      <c r="B46" s="2">
        <v>3</v>
      </c>
      <c r="C46" s="2">
        <v>4</v>
      </c>
      <c r="D46" s="2">
        <v>4</v>
      </c>
      <c r="E46" s="2">
        <v>4</v>
      </c>
      <c r="F46" s="2">
        <v>2</v>
      </c>
      <c r="G46" s="2">
        <v>3</v>
      </c>
      <c r="H46" s="2">
        <v>4</v>
      </c>
    </row>
    <row r="47" spans="1:8">
      <c r="A47" t="s">
        <v>53</v>
      </c>
      <c r="B47" s="2">
        <v>4</v>
      </c>
      <c r="C47" s="2">
        <v>4</v>
      </c>
      <c r="D47" s="2">
        <v>3</v>
      </c>
      <c r="E47" s="2">
        <v>1</v>
      </c>
      <c r="F47" s="2">
        <v>1</v>
      </c>
      <c r="G47" s="2">
        <v>1</v>
      </c>
      <c r="H47" s="2">
        <v>5</v>
      </c>
    </row>
    <row r="48" spans="1:8">
      <c r="A48" t="s">
        <v>54</v>
      </c>
      <c r="B48" s="2">
        <v>4</v>
      </c>
      <c r="C48" s="2">
        <v>4</v>
      </c>
      <c r="D48" s="2">
        <v>5</v>
      </c>
      <c r="E48" s="2">
        <v>4</v>
      </c>
      <c r="F48" s="2">
        <v>4</v>
      </c>
      <c r="G48" s="2">
        <v>5</v>
      </c>
      <c r="H48" s="2">
        <v>5</v>
      </c>
    </row>
    <row r="49" spans="1:8">
      <c r="A49" t="s">
        <v>55</v>
      </c>
      <c r="B49" s="2">
        <v>5</v>
      </c>
      <c r="C49" s="2">
        <v>4</v>
      </c>
      <c r="D49" s="2">
        <v>4</v>
      </c>
      <c r="E49" s="2">
        <v>5</v>
      </c>
      <c r="F49" s="2">
        <v>3</v>
      </c>
      <c r="G49" s="2">
        <v>5</v>
      </c>
      <c r="H49" s="2">
        <v>5</v>
      </c>
    </row>
    <row r="50" spans="1:8">
      <c r="A50" t="s">
        <v>56</v>
      </c>
      <c r="B50" s="2">
        <v>4</v>
      </c>
      <c r="C50" s="2">
        <v>4</v>
      </c>
      <c r="D50" s="2">
        <v>3</v>
      </c>
      <c r="E50" s="2">
        <v>4</v>
      </c>
      <c r="F50" s="2">
        <v>4</v>
      </c>
      <c r="G50" s="2">
        <v>4</v>
      </c>
      <c r="H50" s="2">
        <v>4</v>
      </c>
    </row>
    <row r="51" spans="1:8">
      <c r="A51" t="s">
        <v>57</v>
      </c>
      <c r="B51" s="2">
        <v>5</v>
      </c>
      <c r="C51" s="2">
        <v>5</v>
      </c>
      <c r="D51" s="2">
        <v>4</v>
      </c>
      <c r="E51" s="2">
        <v>5</v>
      </c>
      <c r="F51" s="2">
        <v>4</v>
      </c>
      <c r="G51" s="2">
        <v>3</v>
      </c>
      <c r="H51" s="2">
        <v>5</v>
      </c>
    </row>
    <row r="52" spans="1:8">
      <c r="A52" t="s">
        <v>58</v>
      </c>
      <c r="B52" s="2">
        <v>4</v>
      </c>
      <c r="C52" s="2">
        <v>3</v>
      </c>
      <c r="D52" s="2">
        <v>4</v>
      </c>
      <c r="E52" s="2">
        <v>5</v>
      </c>
      <c r="F52" s="2">
        <v>4</v>
      </c>
      <c r="G52" s="2">
        <v>4</v>
      </c>
      <c r="H52" s="2">
        <v>5</v>
      </c>
    </row>
    <row r="53" spans="1:8">
      <c r="A53" t="s">
        <v>59</v>
      </c>
      <c r="B53" s="2">
        <v>5</v>
      </c>
      <c r="C53" s="2">
        <v>4</v>
      </c>
      <c r="D53" s="2">
        <v>5</v>
      </c>
      <c r="E53" s="2">
        <v>4</v>
      </c>
      <c r="F53" s="2">
        <v>3</v>
      </c>
      <c r="G53" s="2">
        <v>3</v>
      </c>
      <c r="H53" s="2">
        <v>5</v>
      </c>
    </row>
    <row r="54" spans="1:8">
      <c r="A54" t="s">
        <v>60</v>
      </c>
      <c r="B54" s="2">
        <v>4</v>
      </c>
      <c r="C54" s="2">
        <v>2</v>
      </c>
      <c r="D54" s="2">
        <v>2</v>
      </c>
      <c r="E54" s="2">
        <v>4</v>
      </c>
      <c r="F54" s="2">
        <v>5</v>
      </c>
      <c r="G54" s="2">
        <v>3</v>
      </c>
      <c r="H54" s="2">
        <v>4</v>
      </c>
    </row>
    <row r="55" spans="1:8">
      <c r="A55" t="s">
        <v>61</v>
      </c>
      <c r="B55" s="2">
        <v>5</v>
      </c>
      <c r="C55" s="2">
        <v>3</v>
      </c>
      <c r="D55" s="2">
        <v>4</v>
      </c>
      <c r="E55" s="2">
        <v>4</v>
      </c>
      <c r="F55" s="2">
        <v>5</v>
      </c>
      <c r="G55" s="2">
        <v>4</v>
      </c>
      <c r="H55" s="2">
        <v>4</v>
      </c>
    </row>
    <row r="56" spans="1:8">
      <c r="A56" t="s">
        <v>62</v>
      </c>
      <c r="B56" s="2">
        <v>3</v>
      </c>
      <c r="C56" s="2">
        <v>3</v>
      </c>
      <c r="D56" s="2">
        <v>5</v>
      </c>
      <c r="E56" s="2">
        <v>4</v>
      </c>
      <c r="F56" s="2">
        <v>3</v>
      </c>
      <c r="G56" s="2">
        <v>4</v>
      </c>
      <c r="H56" s="2">
        <v>4</v>
      </c>
    </row>
    <row r="57" spans="1:8">
      <c r="A57" t="s">
        <v>63</v>
      </c>
      <c r="B57" s="2">
        <v>4</v>
      </c>
      <c r="C57" s="2">
        <v>3</v>
      </c>
      <c r="D57" s="2">
        <v>4</v>
      </c>
      <c r="E57" s="2">
        <v>4</v>
      </c>
      <c r="F57" s="2">
        <v>3</v>
      </c>
      <c r="G57" s="2">
        <v>3</v>
      </c>
      <c r="H57" s="2">
        <v>4</v>
      </c>
    </row>
    <row r="58" spans="1:8">
      <c r="A58" t="s">
        <v>64</v>
      </c>
      <c r="B58" s="2">
        <v>5</v>
      </c>
      <c r="C58" s="2">
        <v>5</v>
      </c>
      <c r="D58" s="2">
        <v>4</v>
      </c>
      <c r="E58" s="2">
        <v>4</v>
      </c>
      <c r="F58" s="2">
        <v>2</v>
      </c>
      <c r="G58" s="2">
        <v>3</v>
      </c>
      <c r="H58" s="2">
        <v>5</v>
      </c>
    </row>
    <row r="59" spans="1:8">
      <c r="A59" t="s">
        <v>65</v>
      </c>
      <c r="B59" s="2">
        <v>4</v>
      </c>
      <c r="C59" s="2">
        <v>4</v>
      </c>
      <c r="D59" s="2">
        <v>3</v>
      </c>
      <c r="E59" s="2">
        <v>5</v>
      </c>
      <c r="F59" s="2">
        <v>5</v>
      </c>
      <c r="G59" s="2">
        <v>4</v>
      </c>
      <c r="H59" s="2">
        <v>5</v>
      </c>
    </row>
    <row r="60" spans="1:8">
      <c r="A60" t="s">
        <v>66</v>
      </c>
      <c r="B60" s="2">
        <v>4</v>
      </c>
      <c r="C60" s="2">
        <v>4</v>
      </c>
      <c r="D60" s="2">
        <v>4</v>
      </c>
      <c r="E60" s="2">
        <v>4</v>
      </c>
      <c r="F60" s="2">
        <v>4</v>
      </c>
      <c r="G60" s="2">
        <v>3</v>
      </c>
      <c r="H60" s="2">
        <v>4</v>
      </c>
    </row>
    <row r="61" spans="1:8">
      <c r="A61" t="s">
        <v>67</v>
      </c>
      <c r="B61" s="2">
        <v>4</v>
      </c>
      <c r="C61" s="2">
        <v>4</v>
      </c>
      <c r="D61" s="2">
        <v>4</v>
      </c>
      <c r="E61" s="2">
        <v>4</v>
      </c>
      <c r="F61" s="2">
        <v>3</v>
      </c>
      <c r="G61" s="2">
        <v>3</v>
      </c>
      <c r="H61" s="2">
        <v>4</v>
      </c>
    </row>
    <row r="62" spans="1:8">
      <c r="A62" t="s">
        <v>68</v>
      </c>
      <c r="B62" s="2">
        <v>4</v>
      </c>
      <c r="C62" s="2">
        <v>4</v>
      </c>
      <c r="D62" s="2">
        <v>3</v>
      </c>
      <c r="E62" s="2">
        <v>4</v>
      </c>
      <c r="F62" s="2">
        <v>1</v>
      </c>
      <c r="G62" s="2">
        <v>4</v>
      </c>
      <c r="H62" s="2">
        <v>5</v>
      </c>
    </row>
    <row r="63" spans="1:8">
      <c r="A63" t="s">
        <v>69</v>
      </c>
      <c r="B63" s="2">
        <v>5</v>
      </c>
      <c r="C63" s="2">
        <v>4</v>
      </c>
      <c r="D63" s="2">
        <v>2</v>
      </c>
      <c r="E63" s="2">
        <v>4</v>
      </c>
      <c r="F63" s="2">
        <v>1</v>
      </c>
      <c r="G63" s="2">
        <v>5</v>
      </c>
      <c r="H63" s="2">
        <v>5</v>
      </c>
    </row>
    <row r="64" spans="1:8">
      <c r="A64" t="s">
        <v>70</v>
      </c>
      <c r="B64" s="2">
        <v>5</v>
      </c>
      <c r="C64" s="2">
        <v>5</v>
      </c>
      <c r="D64" s="2">
        <v>5</v>
      </c>
      <c r="E64" s="2">
        <v>5</v>
      </c>
      <c r="F64" s="2">
        <v>4</v>
      </c>
      <c r="G64" s="2">
        <v>5</v>
      </c>
      <c r="H64" s="2">
        <v>5</v>
      </c>
    </row>
    <row r="65" spans="1:8">
      <c r="A65" t="s">
        <v>71</v>
      </c>
      <c r="B65" s="2">
        <v>4</v>
      </c>
      <c r="C65" s="2">
        <v>4</v>
      </c>
      <c r="D65" s="2">
        <v>4</v>
      </c>
      <c r="E65" s="2">
        <v>4</v>
      </c>
      <c r="F65" s="2">
        <v>4</v>
      </c>
      <c r="G65" s="2">
        <v>4</v>
      </c>
      <c r="H65" s="2">
        <v>4</v>
      </c>
    </row>
    <row r="66" spans="1:8">
      <c r="A66" t="s">
        <v>72</v>
      </c>
      <c r="B66" s="2">
        <v>5</v>
      </c>
      <c r="C66" s="2">
        <v>4</v>
      </c>
      <c r="D66" s="2">
        <v>3</v>
      </c>
      <c r="E66" s="2">
        <v>4</v>
      </c>
      <c r="F66" s="2">
        <v>4</v>
      </c>
      <c r="G66" s="2">
        <v>3</v>
      </c>
      <c r="H66" s="2">
        <v>5</v>
      </c>
    </row>
    <row r="67" spans="1:8">
      <c r="A67" t="s">
        <v>73</v>
      </c>
      <c r="B67" s="2">
        <v>4</v>
      </c>
      <c r="C67" s="2">
        <v>4</v>
      </c>
      <c r="D67" s="2">
        <v>3</v>
      </c>
      <c r="E67" s="2">
        <v>5</v>
      </c>
      <c r="F67" s="2">
        <v>5</v>
      </c>
      <c r="G67" s="2">
        <v>4</v>
      </c>
      <c r="H67" s="2">
        <v>5</v>
      </c>
    </row>
    <row r="68" spans="1:8">
      <c r="A68" t="s">
        <v>74</v>
      </c>
      <c r="B68" s="2">
        <v>5</v>
      </c>
      <c r="C68" s="2">
        <v>5</v>
      </c>
      <c r="D68" s="2">
        <v>5</v>
      </c>
      <c r="E68" s="2">
        <v>4</v>
      </c>
      <c r="F68" s="2">
        <v>3</v>
      </c>
      <c r="G68" s="2">
        <v>5</v>
      </c>
      <c r="H68" s="2">
        <v>5</v>
      </c>
    </row>
    <row r="69" spans="1:8">
      <c r="A69" t="s">
        <v>75</v>
      </c>
      <c r="B69" s="2">
        <v>4</v>
      </c>
      <c r="C69" s="2">
        <v>3</v>
      </c>
      <c r="D69" s="2">
        <v>3</v>
      </c>
      <c r="E69" s="2">
        <v>5</v>
      </c>
      <c r="F69" s="2">
        <v>4</v>
      </c>
      <c r="G69" s="2">
        <v>3</v>
      </c>
      <c r="H69" s="2">
        <v>5</v>
      </c>
    </row>
    <row r="70" spans="1:8">
      <c r="A70" t="s">
        <v>76</v>
      </c>
      <c r="B70" s="2">
        <v>3</v>
      </c>
      <c r="C70" s="2">
        <v>4</v>
      </c>
      <c r="D70" s="2">
        <v>4</v>
      </c>
      <c r="E70" s="2">
        <v>4</v>
      </c>
      <c r="F70" s="2">
        <v>3</v>
      </c>
      <c r="G70" s="2">
        <v>3</v>
      </c>
      <c r="H70" s="2">
        <v>3</v>
      </c>
    </row>
    <row r="71" spans="1:8">
      <c r="A71" t="s">
        <v>77</v>
      </c>
      <c r="B71" s="2">
        <v>4</v>
      </c>
      <c r="C71" s="2">
        <v>3</v>
      </c>
      <c r="D71" s="2">
        <v>2</v>
      </c>
      <c r="E71" s="2">
        <v>4</v>
      </c>
      <c r="F71" s="2">
        <v>3</v>
      </c>
      <c r="G71" s="2">
        <v>4</v>
      </c>
      <c r="H71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topLeftCell="A18" workbookViewId="0">
      <selection activeCell="B39" sqref="B39:H39"/>
    </sheetView>
  </sheetViews>
  <sheetFormatPr baseColWidth="10" defaultColWidth="9" defaultRowHeight="13.5"/>
  <cols>
    <col min="1" max="1" width="10" customWidth="1"/>
    <col min="2" max="8" width="9" customWidth="1"/>
  </cols>
  <sheetData>
    <row r="1" spans="1:8" ht="13.9">
      <c r="A1" s="3" t="s">
        <v>78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79</v>
      </c>
      <c r="B2" s="4">
        <f>MEDIAN(Participants!B2:B3)</f>
        <v>4</v>
      </c>
      <c r="C2" s="4">
        <f>MEDIAN(Participants!C2:C3)</f>
        <v>4.5</v>
      </c>
      <c r="D2" s="4">
        <f>MEDIAN(Participants!D2:D3)</f>
        <v>4.5</v>
      </c>
      <c r="E2" s="4">
        <f>MEDIAN(Participants!E2:E3)</f>
        <v>4.5</v>
      </c>
      <c r="F2" s="4">
        <f>MEDIAN(Participants!F2:F3)</f>
        <v>3</v>
      </c>
      <c r="G2" s="4">
        <f>MEDIAN(Participants!G2:G3)</f>
        <v>4</v>
      </c>
      <c r="H2" s="4">
        <f>MEDIAN(Participants!H2:H3)</f>
        <v>4.5</v>
      </c>
    </row>
    <row r="3" spans="1:8">
      <c r="A3" s="2" t="s">
        <v>80</v>
      </c>
      <c r="B3" s="4">
        <f>MEDIAN(Participants!B4:B5)</f>
        <v>4.5</v>
      </c>
      <c r="C3" s="4">
        <f>MEDIAN(Participants!C4:C5)</f>
        <v>4</v>
      </c>
      <c r="D3" s="4">
        <f>MEDIAN(Participants!D4:D5)</f>
        <v>4</v>
      </c>
      <c r="E3" s="4">
        <f>MEDIAN(Participants!E4:E5)</f>
        <v>4.5</v>
      </c>
      <c r="F3" s="4">
        <f>MEDIAN(Participants!F4:F5)</f>
        <v>2.5</v>
      </c>
      <c r="G3" s="4">
        <f>MEDIAN(Participants!G4:G5)</f>
        <v>4.5</v>
      </c>
      <c r="H3" s="4">
        <f>MEDIAN(Participants!H4:H5)</f>
        <v>4.5</v>
      </c>
    </row>
    <row r="4" spans="1:8">
      <c r="A4" s="2" t="s">
        <v>81</v>
      </c>
      <c r="B4" s="4">
        <f>MEDIAN(Participants!B6:B7)</f>
        <v>4.5</v>
      </c>
      <c r="C4" s="4">
        <f>MEDIAN(Participants!C6:C7)</f>
        <v>4</v>
      </c>
      <c r="D4" s="4">
        <f>MEDIAN(Participants!D6:D7)</f>
        <v>4.5</v>
      </c>
      <c r="E4" s="4">
        <f>MEDIAN(Participants!E6:E7)</f>
        <v>4</v>
      </c>
      <c r="F4" s="4">
        <f>MEDIAN(Participants!F6:F7)</f>
        <v>1.5</v>
      </c>
      <c r="G4" s="4">
        <f>MEDIAN(Participants!G6:G7)</f>
        <v>3.5</v>
      </c>
      <c r="H4" s="4">
        <f>MEDIAN(Participants!H6:H7)</f>
        <v>5</v>
      </c>
    </row>
    <row r="5" spans="1:8">
      <c r="A5" s="2" t="s">
        <v>82</v>
      </c>
      <c r="B5" s="4">
        <f>MEDIAN(Participants!B8:B9)</f>
        <v>2.5</v>
      </c>
      <c r="C5" s="4">
        <f>MEDIAN(Participants!C8:C9)</f>
        <v>3</v>
      </c>
      <c r="D5" s="4">
        <f>MEDIAN(Participants!D8:D9)</f>
        <v>2.5</v>
      </c>
      <c r="E5" s="4">
        <f>MEDIAN(Participants!E8:E9)</f>
        <v>3</v>
      </c>
      <c r="F5" s="4">
        <f>MEDIAN(Participants!F8:F9)</f>
        <v>3.5</v>
      </c>
      <c r="G5" s="4">
        <f>MEDIAN(Participants!G8:G9)</f>
        <v>4</v>
      </c>
      <c r="H5" s="4">
        <f>MEDIAN(Participants!H8:H9)</f>
        <v>4.5</v>
      </c>
    </row>
    <row r="6" spans="1:8">
      <c r="A6" s="2" t="s">
        <v>83</v>
      </c>
      <c r="B6" s="4">
        <f>MEDIAN(Participants!B10:B11)</f>
        <v>4</v>
      </c>
      <c r="C6" s="4">
        <f>MEDIAN(Participants!C10:C11)</f>
        <v>4.5</v>
      </c>
      <c r="D6" s="4">
        <f>MEDIAN(Participants!D10:D11)</f>
        <v>3.5</v>
      </c>
      <c r="E6" s="4">
        <f>MEDIAN(Participants!E10:E11)</f>
        <v>4.5</v>
      </c>
      <c r="F6" s="4">
        <f>MEDIAN(Participants!F10:F11)</f>
        <v>4</v>
      </c>
      <c r="G6" s="4">
        <f>MEDIAN(Participants!G10:G11)</f>
        <v>4.5</v>
      </c>
      <c r="H6" s="4">
        <f>MEDIAN(Participants!H10:H11)</f>
        <v>4.5</v>
      </c>
    </row>
    <row r="7" spans="1:8">
      <c r="A7" s="2" t="s">
        <v>84</v>
      </c>
      <c r="B7" s="4">
        <f>MEDIAN(Participants!B12:B13)</f>
        <v>5</v>
      </c>
      <c r="C7" s="4">
        <f>MEDIAN(Participants!C12:C13)</f>
        <v>4.5</v>
      </c>
      <c r="D7" s="4">
        <f>MEDIAN(Participants!D12:D13)</f>
        <v>3.5</v>
      </c>
      <c r="E7" s="4">
        <f>MEDIAN(Participants!E12:E13)</f>
        <v>4.5</v>
      </c>
      <c r="F7" s="4">
        <f>MEDIAN(Participants!F12:F13)</f>
        <v>4</v>
      </c>
      <c r="G7" s="4">
        <f>MEDIAN(Participants!G12:G13)</f>
        <v>4</v>
      </c>
      <c r="H7" s="4">
        <f>MEDIAN(Participants!H12:H13)</f>
        <v>5</v>
      </c>
    </row>
    <row r="8" spans="1:8">
      <c r="A8" s="2" t="s">
        <v>85</v>
      </c>
      <c r="B8" s="4">
        <f>MEDIAN(Participants!B14:B15)</f>
        <v>3.5</v>
      </c>
      <c r="C8" s="4">
        <f>MEDIAN(Participants!C14:C15)</f>
        <v>4</v>
      </c>
      <c r="D8" s="4">
        <f>MEDIAN(Participants!D14:D15)</f>
        <v>3.5</v>
      </c>
      <c r="E8" s="4">
        <f>MEDIAN(Participants!E14:E15)</f>
        <v>3.5</v>
      </c>
      <c r="F8" s="4">
        <f>MEDIAN(Participants!F14:F15)</f>
        <v>3.5</v>
      </c>
      <c r="G8" s="4">
        <f>MEDIAN(Participants!G14:G15)</f>
        <v>3</v>
      </c>
      <c r="H8" s="4">
        <f>MEDIAN(Participants!H14:H15)</f>
        <v>4.5</v>
      </c>
    </row>
    <row r="9" spans="1:8">
      <c r="A9" s="2" t="s">
        <v>86</v>
      </c>
      <c r="B9" s="4">
        <f>MEDIAN(Participants!B16:B17)</f>
        <v>3</v>
      </c>
      <c r="C9" s="4">
        <f>MEDIAN(Participants!C16:C17)</f>
        <v>4</v>
      </c>
      <c r="D9" s="4">
        <f>MEDIAN(Participants!D16:D17)</f>
        <v>3</v>
      </c>
      <c r="E9" s="4">
        <f>MEDIAN(Participants!E16:E17)</f>
        <v>3.5</v>
      </c>
      <c r="F9" s="4">
        <f>MEDIAN(Participants!F16:F17)</f>
        <v>4</v>
      </c>
      <c r="G9" s="4">
        <f>MEDIAN(Participants!G16:G17)</f>
        <v>3.5</v>
      </c>
      <c r="H9" s="4">
        <f>MEDIAN(Participants!H16:H17)</f>
        <v>5</v>
      </c>
    </row>
    <row r="10" spans="1:8">
      <c r="A10" s="2" t="s">
        <v>87</v>
      </c>
      <c r="B10" s="4">
        <f>MEDIAN(Participants!B18:B19)</f>
        <v>3.5</v>
      </c>
      <c r="C10" s="4">
        <f>MEDIAN(Participants!C18:C19)</f>
        <v>4</v>
      </c>
      <c r="D10" s="4">
        <f>MEDIAN(Participants!D18:D19)</f>
        <v>4</v>
      </c>
      <c r="E10" s="4">
        <f>MEDIAN(Participants!E18:E19)</f>
        <v>4</v>
      </c>
      <c r="F10" s="4">
        <f>MEDIAN(Participants!F18:F19)</f>
        <v>4</v>
      </c>
      <c r="G10" s="4">
        <f>MEDIAN(Participants!G18:G19)</f>
        <v>3.5</v>
      </c>
      <c r="H10" s="4">
        <f>MEDIAN(Participants!H18:H19)</f>
        <v>4</v>
      </c>
    </row>
    <row r="11" spans="1:8">
      <c r="A11" s="2" t="s">
        <v>88</v>
      </c>
      <c r="B11" s="4">
        <f>MEDIAN(Participants!B20:B21)</f>
        <v>4.5</v>
      </c>
      <c r="C11" s="4">
        <f>MEDIAN(Participants!C20:C21)</f>
        <v>4</v>
      </c>
      <c r="D11" s="4">
        <f>MEDIAN(Participants!D20:D21)</f>
        <v>4</v>
      </c>
      <c r="E11" s="4">
        <f>MEDIAN(Participants!E20:E21)</f>
        <v>5</v>
      </c>
      <c r="F11" s="4">
        <f>MEDIAN(Participants!F20:F21)</f>
        <v>5</v>
      </c>
      <c r="G11" s="4">
        <f>MEDIAN(Participants!G20:G21)</f>
        <v>3.5</v>
      </c>
      <c r="H11" s="4">
        <f>MEDIAN(Participants!H20:H21)</f>
        <v>5</v>
      </c>
    </row>
    <row r="12" spans="1:8">
      <c r="A12" s="2" t="s">
        <v>89</v>
      </c>
      <c r="B12" s="4">
        <f>MEDIAN(Participants!B22:B23)</f>
        <v>3</v>
      </c>
      <c r="C12" s="4">
        <f>MEDIAN(Participants!C22:C23)</f>
        <v>4</v>
      </c>
      <c r="D12" s="4">
        <f>MEDIAN(Participants!D22:D23)</f>
        <v>4.5</v>
      </c>
      <c r="E12" s="4">
        <f>MEDIAN(Participants!E22:E23)</f>
        <v>5</v>
      </c>
      <c r="F12" s="4">
        <f>MEDIAN(Participants!F22:F23)</f>
        <v>3.5</v>
      </c>
      <c r="G12" s="4">
        <f>MEDIAN(Participants!G22:G23)</f>
        <v>4</v>
      </c>
      <c r="H12" s="4">
        <f>MEDIAN(Participants!H22:H23)</f>
        <v>4</v>
      </c>
    </row>
    <row r="13" spans="1:8">
      <c r="A13" s="2" t="s">
        <v>90</v>
      </c>
      <c r="B13" s="4">
        <f>MEDIAN(Participants!B24:B25)</f>
        <v>5</v>
      </c>
      <c r="C13" s="4">
        <f>MEDIAN(Participants!C24:C25)</f>
        <v>4.5</v>
      </c>
      <c r="D13" s="4">
        <f>MEDIAN(Participants!D24:D25)</f>
        <v>4.5</v>
      </c>
      <c r="E13" s="4">
        <f>MEDIAN(Participants!E24:E25)</f>
        <v>5</v>
      </c>
      <c r="F13" s="4">
        <f>MEDIAN(Participants!F24:F25)</f>
        <v>2</v>
      </c>
      <c r="G13" s="4">
        <f>MEDIAN(Participants!G24:G25)</f>
        <v>4</v>
      </c>
      <c r="H13" s="4">
        <f>MEDIAN(Participants!H24:H25)</f>
        <v>5</v>
      </c>
    </row>
    <row r="14" spans="1:8">
      <c r="A14" s="2" t="s">
        <v>91</v>
      </c>
      <c r="B14" s="4">
        <f>MEDIAN(Participants!B26:B27)</f>
        <v>4</v>
      </c>
      <c r="C14" s="4">
        <f>MEDIAN(Participants!C26:C27)</f>
        <v>3.5</v>
      </c>
      <c r="D14" s="4">
        <f>MEDIAN(Participants!D26:D27)</f>
        <v>3</v>
      </c>
      <c r="E14" s="4">
        <f>MEDIAN(Participants!E26:E27)</f>
        <v>4</v>
      </c>
      <c r="F14" s="4">
        <f>MEDIAN(Participants!F26:F27)</f>
        <v>3.5</v>
      </c>
      <c r="G14" s="4">
        <f>MEDIAN(Participants!G26:G27)</f>
        <v>3.5</v>
      </c>
      <c r="H14" s="4">
        <f>MEDIAN(Participants!H26:H27)</f>
        <v>4.5</v>
      </c>
    </row>
    <row r="15" spans="1:8">
      <c r="A15" s="2" t="s">
        <v>92</v>
      </c>
      <c r="B15" s="4">
        <f>MEDIAN(Participants!B28:B29)</f>
        <v>4.5</v>
      </c>
      <c r="C15" s="4">
        <f>MEDIAN(Participants!C28:C29)</f>
        <v>4.5</v>
      </c>
      <c r="D15" s="4">
        <f>MEDIAN(Participants!D28:D29)</f>
        <v>4.5</v>
      </c>
      <c r="E15" s="4">
        <f>MEDIAN(Participants!E28:E29)</f>
        <v>5</v>
      </c>
      <c r="F15" s="4">
        <f>MEDIAN(Participants!F28:F29)</f>
        <v>4.5</v>
      </c>
      <c r="G15" s="4">
        <f>MEDIAN(Participants!G28:G29)</f>
        <v>4.5</v>
      </c>
      <c r="H15" s="4">
        <f>MEDIAN(Participants!H28:H29)</f>
        <v>5</v>
      </c>
    </row>
    <row r="16" spans="1:8">
      <c r="A16" s="2" t="s">
        <v>93</v>
      </c>
      <c r="B16" s="4">
        <f>MEDIAN(Participants!B30:B31)</f>
        <v>4.5</v>
      </c>
      <c r="C16" s="4">
        <f>MEDIAN(Participants!C30:C31)</f>
        <v>3.5</v>
      </c>
      <c r="D16" s="4">
        <f>MEDIAN(Participants!D30:D31)</f>
        <v>3.5</v>
      </c>
      <c r="E16" s="4">
        <f>MEDIAN(Participants!E30:E31)</f>
        <v>4.5</v>
      </c>
      <c r="F16" s="4">
        <f>MEDIAN(Participants!F30:F31)</f>
        <v>3.5</v>
      </c>
      <c r="G16" s="4">
        <f>MEDIAN(Participants!G30:G31)</f>
        <v>4</v>
      </c>
      <c r="H16" s="4">
        <f>MEDIAN(Participants!H30:H31)</f>
        <v>5</v>
      </c>
    </row>
    <row r="17" spans="1:8">
      <c r="A17" s="2" t="s">
        <v>94</v>
      </c>
      <c r="B17" s="4">
        <f>MEDIAN(Participants!B32:B33)</f>
        <v>4.5</v>
      </c>
      <c r="C17" s="4">
        <f>MEDIAN(Participants!C32:C33)</f>
        <v>4.5</v>
      </c>
      <c r="D17" s="4">
        <f>MEDIAN(Participants!D32:D33)</f>
        <v>4.5</v>
      </c>
      <c r="E17" s="4">
        <f>MEDIAN(Participants!E32:E33)</f>
        <v>4</v>
      </c>
      <c r="F17" s="4">
        <f>MEDIAN(Participants!F32:F33)</f>
        <v>2.5</v>
      </c>
      <c r="G17" s="4">
        <f>MEDIAN(Participants!G32:G33)</f>
        <v>4</v>
      </c>
      <c r="H17" s="4">
        <f>MEDIAN(Participants!H32:H33)</f>
        <v>5</v>
      </c>
    </row>
    <row r="18" spans="1:8">
      <c r="A18" s="2" t="s">
        <v>95</v>
      </c>
      <c r="B18" s="4">
        <f>MEDIAN(Participants!B34:B35)</f>
        <v>5</v>
      </c>
      <c r="C18" s="4">
        <f>MEDIAN(Participants!C34:C35)</f>
        <v>4.5</v>
      </c>
      <c r="D18" s="4">
        <f>MEDIAN(Participants!D34:D35)</f>
        <v>2</v>
      </c>
      <c r="E18" s="4">
        <f>MEDIAN(Participants!E34:E35)</f>
        <v>5</v>
      </c>
      <c r="F18" s="4">
        <f>MEDIAN(Participants!F34:F35)</f>
        <v>5</v>
      </c>
      <c r="G18" s="4">
        <f>MEDIAN(Participants!G34:G35)</f>
        <v>5</v>
      </c>
      <c r="H18" s="4">
        <f>MEDIAN(Participants!H34:H35)</f>
        <v>5</v>
      </c>
    </row>
    <row r="19" spans="1:8">
      <c r="A19" s="2" t="s">
        <v>96</v>
      </c>
      <c r="B19" s="4">
        <f>MEDIAN(Participants!B36:B37)</f>
        <v>5</v>
      </c>
      <c r="C19" s="4">
        <f>MEDIAN(Participants!C36:C37)</f>
        <v>5</v>
      </c>
      <c r="D19" s="4">
        <f>MEDIAN(Participants!D36:D37)</f>
        <v>3</v>
      </c>
      <c r="E19" s="4">
        <f>MEDIAN(Participants!E36:E37)</f>
        <v>5</v>
      </c>
      <c r="F19" s="4">
        <f>MEDIAN(Participants!F36:F37)</f>
        <v>4</v>
      </c>
      <c r="G19" s="4">
        <f>MEDIAN(Participants!G36:G37)</f>
        <v>3.5</v>
      </c>
      <c r="H19" s="4">
        <f>MEDIAN(Participants!H36:H37)</f>
        <v>5</v>
      </c>
    </row>
    <row r="20" spans="1:8">
      <c r="A20" s="2" t="s">
        <v>97</v>
      </c>
      <c r="B20" s="4">
        <f>MEDIAN(Participants!B38:B39)</f>
        <v>2</v>
      </c>
      <c r="C20" s="4">
        <f>MEDIAN(Participants!C38:C39)</f>
        <v>4.5</v>
      </c>
      <c r="D20" s="4">
        <f>MEDIAN(Participants!D38:D39)</f>
        <v>4.5</v>
      </c>
      <c r="E20" s="4">
        <f>MEDIAN(Participants!E38:E39)</f>
        <v>5</v>
      </c>
      <c r="F20" s="4">
        <f>MEDIAN(Participants!F38:F39)</f>
        <v>3.5</v>
      </c>
      <c r="G20" s="4">
        <f>MEDIAN(Participants!G38:G39)</f>
        <v>4.5</v>
      </c>
      <c r="H20" s="4">
        <f>MEDIAN(Participants!H38:H39)</f>
        <v>5</v>
      </c>
    </row>
    <row r="21" spans="1:8">
      <c r="A21" s="2" t="s">
        <v>98</v>
      </c>
      <c r="B21" s="4">
        <f>MEDIAN(Participants!B40:B41)</f>
        <v>4</v>
      </c>
      <c r="C21" s="4">
        <f>MEDIAN(Participants!C40:C41)</f>
        <v>3.5</v>
      </c>
      <c r="D21" s="4">
        <f>MEDIAN(Participants!D40:D41)</f>
        <v>2.5</v>
      </c>
      <c r="E21" s="4">
        <f>MEDIAN(Participants!E40:E41)</f>
        <v>4.5</v>
      </c>
      <c r="F21" s="4">
        <f>MEDIAN(Participants!F40:F41)</f>
        <v>4</v>
      </c>
      <c r="G21" s="4">
        <f>MEDIAN(Participants!G40:G41)</f>
        <v>2.5</v>
      </c>
      <c r="H21" s="4">
        <f>MEDIAN(Participants!H40:H41)</f>
        <v>3.5</v>
      </c>
    </row>
    <row r="22" spans="1:8">
      <c r="A22" s="2" t="s">
        <v>99</v>
      </c>
      <c r="B22" s="4">
        <f>MEDIAN(Participants!B42:B43)</f>
        <v>4</v>
      </c>
      <c r="C22" s="4">
        <f>MEDIAN(Participants!C42:C43)</f>
        <v>3</v>
      </c>
      <c r="D22" s="4">
        <f>MEDIAN(Participants!D42:D43)</f>
        <v>3.5</v>
      </c>
      <c r="E22" s="4">
        <f>MEDIAN(Participants!E42:E43)</f>
        <v>4</v>
      </c>
      <c r="F22" s="4">
        <f>MEDIAN(Participants!F42:F43)</f>
        <v>3.5</v>
      </c>
      <c r="G22" s="4">
        <f>MEDIAN(Participants!G42:G43)</f>
        <v>4</v>
      </c>
      <c r="H22" s="4">
        <f>MEDIAN(Participants!H42:H43)</f>
        <v>4</v>
      </c>
    </row>
    <row r="23" spans="1:8">
      <c r="A23" s="2" t="s">
        <v>100</v>
      </c>
      <c r="B23" s="4">
        <f>MEDIAN(Participants!B44:B45)</f>
        <v>2.5</v>
      </c>
      <c r="C23" s="4">
        <f>MEDIAN(Participants!C44:C45)</f>
        <v>2.5</v>
      </c>
      <c r="D23" s="4">
        <f>MEDIAN(Participants!D44:D45)</f>
        <v>3</v>
      </c>
      <c r="E23" s="4">
        <f>MEDIAN(Participants!E44:E45)</f>
        <v>4</v>
      </c>
      <c r="F23" s="4">
        <f>MEDIAN(Participants!F44:F45)</f>
        <v>4</v>
      </c>
      <c r="G23" s="4">
        <f>MEDIAN(Participants!G44:G45)</f>
        <v>2.5</v>
      </c>
      <c r="H23" s="4">
        <f>MEDIAN(Participants!H44:H45)</f>
        <v>4</v>
      </c>
    </row>
    <row r="24" spans="1:8">
      <c r="A24" s="2" t="s">
        <v>101</v>
      </c>
      <c r="B24" s="4">
        <f>MEDIAN(Participants!B46:B47)</f>
        <v>3.5</v>
      </c>
      <c r="C24" s="4">
        <f>MEDIAN(Participants!C46:C47)</f>
        <v>4</v>
      </c>
      <c r="D24" s="4">
        <f>MEDIAN(Participants!D46:D47)</f>
        <v>3.5</v>
      </c>
      <c r="E24" s="4">
        <f>MEDIAN(Participants!E46:E47)</f>
        <v>2.5</v>
      </c>
      <c r="F24" s="4">
        <f>MEDIAN(Participants!F46:F47)</f>
        <v>1.5</v>
      </c>
      <c r="G24" s="4">
        <f>MEDIAN(Participants!G46:G47)</f>
        <v>2</v>
      </c>
      <c r="H24" s="4">
        <f>MEDIAN(Participants!H46:H47)</f>
        <v>4.5</v>
      </c>
    </row>
    <row r="25" spans="1:8">
      <c r="A25" s="2" t="s">
        <v>102</v>
      </c>
      <c r="B25" s="4">
        <f>MEDIAN(Participants!B48:B49)</f>
        <v>4.5</v>
      </c>
      <c r="C25" s="4">
        <f>MEDIAN(Participants!C48:C49)</f>
        <v>4</v>
      </c>
      <c r="D25" s="4">
        <f>MEDIAN(Participants!D48:D49)</f>
        <v>4.5</v>
      </c>
      <c r="E25" s="4">
        <f>MEDIAN(Participants!E48:E49)</f>
        <v>4.5</v>
      </c>
      <c r="F25" s="4">
        <f>MEDIAN(Participants!F48:F49)</f>
        <v>3.5</v>
      </c>
      <c r="G25" s="4">
        <f>MEDIAN(Participants!G48:G49)</f>
        <v>5</v>
      </c>
      <c r="H25" s="4">
        <f>MEDIAN(Participants!H48:H49)</f>
        <v>5</v>
      </c>
    </row>
    <row r="26" spans="1:8">
      <c r="A26" s="2" t="s">
        <v>103</v>
      </c>
      <c r="B26" s="4">
        <f>MEDIAN(Participants!B50:B51)</f>
        <v>4.5</v>
      </c>
      <c r="C26" s="4">
        <f>MEDIAN(Participants!C50:C51)</f>
        <v>4.5</v>
      </c>
      <c r="D26" s="4">
        <f>MEDIAN(Participants!D50:D51)</f>
        <v>3.5</v>
      </c>
      <c r="E26" s="4">
        <f>MEDIAN(Participants!E50:E51)</f>
        <v>4.5</v>
      </c>
      <c r="F26" s="4">
        <f>MEDIAN(Participants!F50:F51)</f>
        <v>4</v>
      </c>
      <c r="G26" s="4">
        <f>MEDIAN(Participants!G50:G51)</f>
        <v>3.5</v>
      </c>
      <c r="H26" s="4">
        <f>MEDIAN(Participants!H50:H51)</f>
        <v>4.5</v>
      </c>
    </row>
    <row r="27" spans="1:8">
      <c r="A27" s="2" t="s">
        <v>104</v>
      </c>
      <c r="B27" s="4">
        <f>MEDIAN(Participants!B52:B53)</f>
        <v>4.5</v>
      </c>
      <c r="C27" s="4">
        <f>MEDIAN(Participants!C52:C53)</f>
        <v>3.5</v>
      </c>
      <c r="D27" s="4">
        <f>MEDIAN(Participants!D52:D53)</f>
        <v>4.5</v>
      </c>
      <c r="E27" s="4">
        <f>MEDIAN(Participants!E52:E53)</f>
        <v>4.5</v>
      </c>
      <c r="F27" s="4">
        <f>MEDIAN(Participants!F52:F53)</f>
        <v>3.5</v>
      </c>
      <c r="G27" s="4">
        <f>MEDIAN(Participants!G52:G53)</f>
        <v>3.5</v>
      </c>
      <c r="H27" s="4">
        <f>MEDIAN(Participants!H52:H53)</f>
        <v>5</v>
      </c>
    </row>
    <row r="28" spans="1:8">
      <c r="A28" s="2" t="s">
        <v>105</v>
      </c>
      <c r="B28" s="4">
        <f>MEDIAN(Participants!B54:B55)</f>
        <v>4.5</v>
      </c>
      <c r="C28" s="4">
        <f>MEDIAN(Participants!C54:C55)</f>
        <v>2.5</v>
      </c>
      <c r="D28" s="4">
        <f>MEDIAN(Participants!D54:D55)</f>
        <v>3</v>
      </c>
      <c r="E28" s="4">
        <f>MEDIAN(Participants!E54:E55)</f>
        <v>4</v>
      </c>
      <c r="F28" s="4">
        <f>MEDIAN(Participants!F54:F55)</f>
        <v>5</v>
      </c>
      <c r="G28" s="4">
        <f>MEDIAN(Participants!G54:G55)</f>
        <v>3.5</v>
      </c>
      <c r="H28" s="4">
        <f>MEDIAN(Participants!H54:H55)</f>
        <v>4</v>
      </c>
    </row>
    <row r="29" spans="1:8">
      <c r="A29" s="2" t="s">
        <v>106</v>
      </c>
      <c r="B29" s="4">
        <f>MEDIAN(Participants!B56:B57)</f>
        <v>3.5</v>
      </c>
      <c r="C29" s="4">
        <f>MEDIAN(Participants!C56:C57)</f>
        <v>3</v>
      </c>
      <c r="D29" s="4">
        <f>MEDIAN(Participants!D56:D57)</f>
        <v>4.5</v>
      </c>
      <c r="E29" s="4">
        <f>MEDIAN(Participants!E56:E57)</f>
        <v>4</v>
      </c>
      <c r="F29" s="4">
        <f>MEDIAN(Participants!F56:F57)</f>
        <v>3</v>
      </c>
      <c r="G29" s="4">
        <f>MEDIAN(Participants!G56:G57)</f>
        <v>3.5</v>
      </c>
      <c r="H29" s="4">
        <f>MEDIAN(Participants!H56:H57)</f>
        <v>4</v>
      </c>
    </row>
    <row r="30" spans="1:8">
      <c r="A30" s="2" t="s">
        <v>107</v>
      </c>
      <c r="B30" s="4">
        <f>MEDIAN(Participants!B58:B59)</f>
        <v>4.5</v>
      </c>
      <c r="C30" s="4">
        <f>MEDIAN(Participants!C58:C59)</f>
        <v>4.5</v>
      </c>
      <c r="D30" s="4">
        <f>MEDIAN(Participants!D58:D59)</f>
        <v>3.5</v>
      </c>
      <c r="E30" s="4">
        <f>MEDIAN(Participants!E58:E59)</f>
        <v>4.5</v>
      </c>
      <c r="F30" s="4">
        <f>MEDIAN(Participants!F58:F59)</f>
        <v>3.5</v>
      </c>
      <c r="G30" s="4">
        <f>MEDIAN(Participants!G58:G59)</f>
        <v>3.5</v>
      </c>
      <c r="H30" s="4">
        <f>MEDIAN(Participants!H58:H59)</f>
        <v>5</v>
      </c>
    </row>
    <row r="31" spans="1:8">
      <c r="A31" s="2" t="s">
        <v>108</v>
      </c>
      <c r="B31" s="4">
        <f>MEDIAN(Participants!B60:B61)</f>
        <v>4</v>
      </c>
      <c r="C31" s="4">
        <f>MEDIAN(Participants!C60:C61)</f>
        <v>4</v>
      </c>
      <c r="D31" s="4">
        <f>MEDIAN(Participants!D60:D61)</f>
        <v>4</v>
      </c>
      <c r="E31" s="4">
        <f>MEDIAN(Participants!E60:E61)</f>
        <v>4</v>
      </c>
      <c r="F31" s="4">
        <f>MEDIAN(Participants!F60:F61)</f>
        <v>3.5</v>
      </c>
      <c r="G31" s="4">
        <f>MEDIAN(Participants!G60:G61)</f>
        <v>3</v>
      </c>
      <c r="H31" s="4">
        <f>MEDIAN(Participants!H60:H61)</f>
        <v>4</v>
      </c>
    </row>
    <row r="32" spans="1:8">
      <c r="A32" s="2" t="s">
        <v>109</v>
      </c>
      <c r="B32" s="4">
        <f>MEDIAN(Participants!B62:B63)</f>
        <v>4.5</v>
      </c>
      <c r="C32" s="4">
        <f>MEDIAN(Participants!C62:C63)</f>
        <v>4</v>
      </c>
      <c r="D32" s="4">
        <f>MEDIAN(Participants!D62:D63)</f>
        <v>2.5</v>
      </c>
      <c r="E32" s="4">
        <f>MEDIAN(Participants!E62:E63)</f>
        <v>4</v>
      </c>
      <c r="F32" s="4">
        <f>MEDIAN(Participants!F62:F63)</f>
        <v>1</v>
      </c>
      <c r="G32" s="4">
        <f>MEDIAN(Participants!G62:G63)</f>
        <v>4.5</v>
      </c>
      <c r="H32" s="4">
        <f>MEDIAN(Participants!H62:H63)</f>
        <v>5</v>
      </c>
    </row>
    <row r="33" spans="1:8">
      <c r="A33" s="2" t="s">
        <v>110</v>
      </c>
      <c r="B33" s="4">
        <f>MEDIAN(Participants!B64:B65)</f>
        <v>4.5</v>
      </c>
      <c r="C33" s="4">
        <f>MEDIAN(Participants!C64:C65)</f>
        <v>4.5</v>
      </c>
      <c r="D33" s="4">
        <f>MEDIAN(Participants!D64:D65)</f>
        <v>4.5</v>
      </c>
      <c r="E33" s="4">
        <f>MEDIAN(Participants!E64:E65)</f>
        <v>4.5</v>
      </c>
      <c r="F33" s="4">
        <f>MEDIAN(Participants!F64:F65)</f>
        <v>4</v>
      </c>
      <c r="G33" s="4">
        <f>MEDIAN(Participants!G64:G65)</f>
        <v>4.5</v>
      </c>
      <c r="H33" s="4">
        <f>MEDIAN(Participants!H64:H65)</f>
        <v>4.5</v>
      </c>
    </row>
    <row r="34" spans="1:8">
      <c r="A34" s="2" t="s">
        <v>111</v>
      </c>
      <c r="B34" s="4">
        <f>MEDIAN(Participants!B66:B67)</f>
        <v>4.5</v>
      </c>
      <c r="C34" s="4">
        <f>MEDIAN(Participants!C66:C67)</f>
        <v>4</v>
      </c>
      <c r="D34" s="4">
        <f>MEDIAN(Participants!D66:D67)</f>
        <v>3</v>
      </c>
      <c r="E34" s="4">
        <f>MEDIAN(Participants!E66:E67)</f>
        <v>4.5</v>
      </c>
      <c r="F34" s="4">
        <f>MEDIAN(Participants!F66:F67)</f>
        <v>4.5</v>
      </c>
      <c r="G34" s="4">
        <f>MEDIAN(Participants!G66:G67)</f>
        <v>3.5</v>
      </c>
      <c r="H34" s="4">
        <f>MEDIAN(Participants!H66:H67)</f>
        <v>5</v>
      </c>
    </row>
    <row r="35" spans="1:8">
      <c r="A35" s="2" t="s">
        <v>112</v>
      </c>
      <c r="B35" s="4">
        <f>MEDIAN(Participants!B68:B69)</f>
        <v>4.5</v>
      </c>
      <c r="C35" s="4">
        <f>MEDIAN(Participants!C68:C69)</f>
        <v>4</v>
      </c>
      <c r="D35" s="4">
        <f>MEDIAN(Participants!D68:D69)</f>
        <v>4</v>
      </c>
      <c r="E35" s="4">
        <f>MEDIAN(Participants!E68:E69)</f>
        <v>4.5</v>
      </c>
      <c r="F35" s="4">
        <f>MEDIAN(Participants!F68:F69)</f>
        <v>3.5</v>
      </c>
      <c r="G35" s="4">
        <f>MEDIAN(Participants!G68:G69)</f>
        <v>4</v>
      </c>
      <c r="H35" s="4">
        <f>MEDIAN(Participants!H68:H69)</f>
        <v>5</v>
      </c>
    </row>
    <row r="36" spans="1:8">
      <c r="A36" s="2" t="s">
        <v>113</v>
      </c>
      <c r="B36" s="4">
        <f>MEDIAN(Participants!B70:B71)</f>
        <v>3.5</v>
      </c>
      <c r="C36" s="4">
        <f>MEDIAN(Participants!C70:C71)</f>
        <v>3.5</v>
      </c>
      <c r="D36" s="4">
        <f>MEDIAN(Participants!D70:D71)</f>
        <v>3</v>
      </c>
      <c r="E36" s="4">
        <f>MEDIAN(Participants!E70:E71)</f>
        <v>4</v>
      </c>
      <c r="F36" s="4">
        <f>MEDIAN(Participants!F70:F71)</f>
        <v>3</v>
      </c>
      <c r="G36" s="4">
        <f>MEDIAN(Participants!G70:G71)</f>
        <v>3.5</v>
      </c>
      <c r="H36" s="4">
        <f>MEDIAN(Participants!H70:H71)</f>
        <v>4</v>
      </c>
    </row>
    <row r="38" spans="1:8">
      <c r="B38">
        <f>AVERAGE(DyadScoresTable[Q1])</f>
        <v>4.0571428571428569</v>
      </c>
      <c r="C38">
        <f>AVERAGE(DyadScoresTable[Q2])</f>
        <v>3.9428571428571431</v>
      </c>
      <c r="D38">
        <f>AVERAGE(DyadScoresTable[Q3])</f>
        <v>3.657142857142857</v>
      </c>
      <c r="E38">
        <f>AVERAGE(DyadScoresTable[Q4])</f>
        <v>4.2857142857142856</v>
      </c>
      <c r="F38">
        <f>AVERAGE(DyadScoresTable[Q5])</f>
        <v>3.4857142857142858</v>
      </c>
      <c r="G38">
        <f>AVERAGE(DyadScoresTable[Q6])</f>
        <v>3.7571428571428571</v>
      </c>
      <c r="H38">
        <f>AVERAGE(DyadScoresTable[Q7])</f>
        <v>4.5999999999999996</v>
      </c>
    </row>
    <row r="39" spans="1:8">
      <c r="B39">
        <f>STDEVA(DyadScoresTable[Q1])</f>
        <v>0.75509474056365233</v>
      </c>
      <c r="C39">
        <f>STDEVA(DyadScoresTable[Q2])</f>
        <v>0.60356086212221638</v>
      </c>
      <c r="D39">
        <f>STDEVA(DyadScoresTable[Q3])</f>
        <v>0.73536134146486709</v>
      </c>
      <c r="E39">
        <f>STDEVA(DyadScoresTable[Q4])</f>
        <v>0.57247802790759916</v>
      </c>
      <c r="F39">
        <f>STDEVA(DyadScoresTable[Q5])</f>
        <v>0.94313084899144695</v>
      </c>
      <c r="G39">
        <f>STDEVA(DyadScoresTable[Q6])</f>
        <v>0.66831029878506709</v>
      </c>
      <c r="H39">
        <f>STDEVA(DyadScoresTable[Q7])</f>
        <v>0.450489929377548</v>
      </c>
    </row>
  </sheetData>
  <conditionalFormatting sqref="B2:H3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12" workbookViewId="0">
      <selection activeCell="A40" sqref="A40"/>
    </sheetView>
  </sheetViews>
  <sheetFormatPr baseColWidth="10" defaultColWidth="9" defaultRowHeight="13.5"/>
  <cols>
    <col min="1" max="1" width="10" customWidth="1"/>
    <col min="2" max="8" width="9" customWidth="1"/>
  </cols>
  <sheetData>
    <row r="1" spans="1:8" ht="13.9">
      <c r="A1" s="5" t="s">
        <v>78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2" t="s">
        <v>79</v>
      </c>
      <c r="B2" s="6">
        <f>ABS(Participants!B2-Participants!B3)</f>
        <v>2</v>
      </c>
      <c r="C2" s="6">
        <f>ABS(Participants!C2-Participants!C3)</f>
        <v>1</v>
      </c>
      <c r="D2" s="6">
        <f>ABS(Participants!D2-Participants!D3)</f>
        <v>1</v>
      </c>
      <c r="E2" s="6">
        <f>ABS(Participants!E2-Participants!E3)</f>
        <v>1</v>
      </c>
      <c r="F2" s="6">
        <f>ABS(Participants!F2-Participants!F3)</f>
        <v>2</v>
      </c>
      <c r="G2" s="6">
        <f>ABS(Participants!G2-Participants!G3)</f>
        <v>0</v>
      </c>
      <c r="H2" s="6">
        <f>ABS(Participants!H2-Participants!H3)</f>
        <v>1</v>
      </c>
    </row>
    <row r="3" spans="1:8">
      <c r="A3" s="2" t="s">
        <v>80</v>
      </c>
      <c r="B3" s="6">
        <f>ABS(Participants!B4-Participants!B5)</f>
        <v>1</v>
      </c>
      <c r="C3" s="6">
        <f>ABS(Participants!C4-Participants!C5)</f>
        <v>0</v>
      </c>
      <c r="D3" s="6">
        <f>ABS(Participants!D4-Participants!D5)</f>
        <v>0</v>
      </c>
      <c r="E3" s="6">
        <f>ABS(Participants!E4-Participants!E5)</f>
        <v>1</v>
      </c>
      <c r="F3" s="6">
        <f>ABS(Participants!F4-Participants!F5)</f>
        <v>1</v>
      </c>
      <c r="G3" s="6">
        <f>ABS(Participants!G4-Participants!G5)</f>
        <v>1</v>
      </c>
      <c r="H3" s="6">
        <f>ABS(Participants!H4-Participants!H5)</f>
        <v>1</v>
      </c>
    </row>
    <row r="4" spans="1:8">
      <c r="A4" s="2" t="s">
        <v>81</v>
      </c>
      <c r="B4" s="6">
        <f>ABS(Participants!B6-Participants!B7)</f>
        <v>1</v>
      </c>
      <c r="C4" s="6">
        <f>ABS(Participants!C6-Participants!C7)</f>
        <v>0</v>
      </c>
      <c r="D4" s="6">
        <f>ABS(Participants!D6-Participants!D7)</f>
        <v>1</v>
      </c>
      <c r="E4" s="6">
        <f>ABS(Participants!E6-Participants!E7)</f>
        <v>0</v>
      </c>
      <c r="F4" s="6">
        <f>ABS(Participants!F6-Participants!F7)</f>
        <v>1</v>
      </c>
      <c r="G4" s="6">
        <f>ABS(Participants!G6-Participants!G7)</f>
        <v>1</v>
      </c>
      <c r="H4" s="6">
        <f>ABS(Participants!H6-Participants!H7)</f>
        <v>0</v>
      </c>
    </row>
    <row r="5" spans="1:8">
      <c r="A5" s="2" t="s">
        <v>82</v>
      </c>
      <c r="B5" s="6">
        <f>ABS(Participants!B8-Participants!B9)</f>
        <v>3</v>
      </c>
      <c r="C5" s="6">
        <f>ABS(Participants!C8-Participants!C9)</f>
        <v>2</v>
      </c>
      <c r="D5" s="6">
        <f>ABS(Participants!D8-Participants!D9)</f>
        <v>1</v>
      </c>
      <c r="E5" s="6">
        <f>ABS(Participants!E8-Participants!E9)</f>
        <v>0</v>
      </c>
      <c r="F5" s="6">
        <f>ABS(Participants!F8-Participants!F9)</f>
        <v>1</v>
      </c>
      <c r="G5" s="6">
        <f>ABS(Participants!G8-Participants!G9)</f>
        <v>0</v>
      </c>
      <c r="H5" s="6">
        <f>ABS(Participants!H8-Participants!H9)</f>
        <v>1</v>
      </c>
    </row>
    <row r="6" spans="1:8">
      <c r="A6" s="2" t="s">
        <v>83</v>
      </c>
      <c r="B6" s="6">
        <f>ABS(Participants!B10-Participants!B11)</f>
        <v>2</v>
      </c>
      <c r="C6" s="6">
        <f>ABS(Participants!C10-Participants!C11)</f>
        <v>1</v>
      </c>
      <c r="D6" s="6">
        <f>ABS(Participants!D10-Participants!D11)</f>
        <v>1</v>
      </c>
      <c r="E6" s="6">
        <f>ABS(Participants!E10-Participants!E11)</f>
        <v>1</v>
      </c>
      <c r="F6" s="6">
        <f>ABS(Participants!F10-Participants!F11)</f>
        <v>0</v>
      </c>
      <c r="G6" s="6">
        <f>ABS(Participants!G10-Participants!G11)</f>
        <v>1</v>
      </c>
      <c r="H6" s="6">
        <f>ABS(Participants!H10-Participants!H11)</f>
        <v>1</v>
      </c>
    </row>
    <row r="7" spans="1:8">
      <c r="A7" s="2" t="s">
        <v>84</v>
      </c>
      <c r="B7" s="6">
        <f>ABS(Participants!B12-Participants!B13)</f>
        <v>0</v>
      </c>
      <c r="C7" s="6">
        <f>ABS(Participants!C12-Participants!C13)</f>
        <v>1</v>
      </c>
      <c r="D7" s="6">
        <f>ABS(Participants!D12-Participants!D13)</f>
        <v>1</v>
      </c>
      <c r="E7" s="6">
        <f>ABS(Participants!E12-Participants!E13)</f>
        <v>1</v>
      </c>
      <c r="F7" s="6">
        <f>ABS(Participants!F12-Participants!F13)</f>
        <v>0</v>
      </c>
      <c r="G7" s="6">
        <f>ABS(Participants!G12-Participants!G13)</f>
        <v>0</v>
      </c>
      <c r="H7" s="6">
        <f>ABS(Participants!H12-Participants!H13)</f>
        <v>0</v>
      </c>
    </row>
    <row r="8" spans="1:8">
      <c r="A8" s="2" t="s">
        <v>85</v>
      </c>
      <c r="B8" s="6">
        <f>ABS(Participants!B14-Participants!B15)</f>
        <v>3</v>
      </c>
      <c r="C8" s="6">
        <f>ABS(Participants!C14-Participants!C15)</f>
        <v>0</v>
      </c>
      <c r="D8" s="6">
        <f>ABS(Participants!D14-Participants!D15)</f>
        <v>1</v>
      </c>
      <c r="E8" s="6">
        <f>ABS(Participants!E14-Participants!E15)</f>
        <v>1</v>
      </c>
      <c r="F8" s="6">
        <f>ABS(Participants!F14-Participants!F15)</f>
        <v>1</v>
      </c>
      <c r="G8" s="6">
        <f>ABS(Participants!G14-Participants!G15)</f>
        <v>0</v>
      </c>
      <c r="H8" s="6">
        <f>ABS(Participants!H14-Participants!H15)</f>
        <v>1</v>
      </c>
    </row>
    <row r="9" spans="1:8">
      <c r="A9" s="2" t="s">
        <v>86</v>
      </c>
      <c r="B9" s="6">
        <f>ABS(Participants!B16-Participants!B17)</f>
        <v>2</v>
      </c>
      <c r="C9" s="6">
        <f>ABS(Participants!C16-Participants!C17)</f>
        <v>0</v>
      </c>
      <c r="D9" s="6">
        <f>ABS(Participants!D16-Participants!D17)</f>
        <v>2</v>
      </c>
      <c r="E9" s="6">
        <f>ABS(Participants!E16-Participants!E17)</f>
        <v>1</v>
      </c>
      <c r="F9" s="6">
        <f>ABS(Participants!F16-Participants!F17)</f>
        <v>0</v>
      </c>
      <c r="G9" s="6">
        <f>ABS(Participants!G16-Participants!G17)</f>
        <v>1</v>
      </c>
      <c r="H9" s="6">
        <f>ABS(Participants!H16-Participants!H17)</f>
        <v>0</v>
      </c>
    </row>
    <row r="10" spans="1:8">
      <c r="A10" s="2" t="s">
        <v>87</v>
      </c>
      <c r="B10" s="6">
        <f>ABS(Participants!B18-Participants!B19)</f>
        <v>1</v>
      </c>
      <c r="C10" s="6">
        <f>ABS(Participants!C18-Participants!C19)</f>
        <v>2</v>
      </c>
      <c r="D10" s="6">
        <f>ABS(Participants!D18-Participants!D19)</f>
        <v>0</v>
      </c>
      <c r="E10" s="6">
        <f>ABS(Participants!E18-Participants!E19)</f>
        <v>0</v>
      </c>
      <c r="F10" s="6">
        <f>ABS(Participants!F18-Participants!F19)</f>
        <v>0</v>
      </c>
      <c r="G10" s="6">
        <f>ABS(Participants!G18-Participants!G19)</f>
        <v>1</v>
      </c>
      <c r="H10" s="6">
        <f>ABS(Participants!H18-Participants!H19)</f>
        <v>0</v>
      </c>
    </row>
    <row r="11" spans="1:8">
      <c r="A11" s="2" t="s">
        <v>88</v>
      </c>
      <c r="B11" s="6">
        <f>ABS(Participants!B20-Participants!B21)</f>
        <v>1</v>
      </c>
      <c r="C11" s="6">
        <f>ABS(Participants!C20-Participants!C21)</f>
        <v>0</v>
      </c>
      <c r="D11" s="6">
        <f>ABS(Participants!D20-Participants!D21)</f>
        <v>0</v>
      </c>
      <c r="E11" s="6">
        <f>ABS(Participants!E20-Participants!E21)</f>
        <v>0</v>
      </c>
      <c r="F11" s="6">
        <f>ABS(Participants!F20-Participants!F21)</f>
        <v>0</v>
      </c>
      <c r="G11" s="6">
        <f>ABS(Participants!G20-Participants!G21)</f>
        <v>1</v>
      </c>
      <c r="H11" s="6">
        <f>ABS(Participants!H20-Participants!H21)</f>
        <v>0</v>
      </c>
    </row>
    <row r="12" spans="1:8">
      <c r="A12" s="2" t="s">
        <v>89</v>
      </c>
      <c r="B12" s="6">
        <f>ABS(Participants!B22-Participants!B23)</f>
        <v>2</v>
      </c>
      <c r="C12" s="6">
        <f>ABS(Participants!C22-Participants!C23)</f>
        <v>0</v>
      </c>
      <c r="D12" s="6">
        <f>ABS(Participants!D22-Participants!D23)</f>
        <v>1</v>
      </c>
      <c r="E12" s="6">
        <f>ABS(Participants!E22-Participants!E23)</f>
        <v>0</v>
      </c>
      <c r="F12" s="6">
        <f>ABS(Participants!F22-Participants!F23)</f>
        <v>1</v>
      </c>
      <c r="G12" s="6">
        <f>ABS(Participants!G22-Participants!G23)</f>
        <v>0</v>
      </c>
      <c r="H12" s="6">
        <f>ABS(Participants!H22-Participants!H23)</f>
        <v>0</v>
      </c>
    </row>
    <row r="13" spans="1:8">
      <c r="A13" s="2" t="s">
        <v>90</v>
      </c>
      <c r="B13" s="6">
        <f>ABS(Participants!B24-Participants!B25)</f>
        <v>0</v>
      </c>
      <c r="C13" s="6">
        <f>ABS(Participants!C24-Participants!C25)</f>
        <v>1</v>
      </c>
      <c r="D13" s="6">
        <f>ABS(Participants!D24-Participants!D25)</f>
        <v>1</v>
      </c>
      <c r="E13" s="6">
        <f>ABS(Participants!E24-Participants!E25)</f>
        <v>0</v>
      </c>
      <c r="F13" s="6">
        <f>ABS(Participants!F24-Participants!F25)</f>
        <v>0</v>
      </c>
      <c r="G13" s="6">
        <f>ABS(Participants!G24-Participants!G25)</f>
        <v>2</v>
      </c>
      <c r="H13" s="6">
        <f>ABS(Participants!H24-Participants!H25)</f>
        <v>0</v>
      </c>
    </row>
    <row r="14" spans="1:8">
      <c r="A14" s="2" t="s">
        <v>91</v>
      </c>
      <c r="B14" s="6">
        <f>ABS(Participants!B26-Participants!B27)</f>
        <v>0</v>
      </c>
      <c r="C14" s="6">
        <f>ABS(Participants!C26-Participants!C27)</f>
        <v>1</v>
      </c>
      <c r="D14" s="6">
        <f>ABS(Participants!D26-Participants!D27)</f>
        <v>0</v>
      </c>
      <c r="E14" s="6">
        <f>ABS(Participants!E26-Participants!E27)</f>
        <v>0</v>
      </c>
      <c r="F14" s="6">
        <f>ABS(Participants!F26-Participants!F27)</f>
        <v>1</v>
      </c>
      <c r="G14" s="6">
        <f>ABS(Participants!G26-Participants!G27)</f>
        <v>1</v>
      </c>
      <c r="H14" s="6">
        <f>ABS(Participants!H26-Participants!H27)</f>
        <v>1</v>
      </c>
    </row>
    <row r="15" spans="1:8">
      <c r="A15" s="2" t="s">
        <v>92</v>
      </c>
      <c r="B15" s="6">
        <f>ABS(Participants!B28-Participants!B29)</f>
        <v>1</v>
      </c>
      <c r="C15" s="6">
        <f>ABS(Participants!C28-Participants!C29)</f>
        <v>1</v>
      </c>
      <c r="D15" s="6">
        <f>ABS(Participants!D28-Participants!D29)</f>
        <v>1</v>
      </c>
      <c r="E15" s="6">
        <f>ABS(Participants!E28-Participants!E29)</f>
        <v>0</v>
      </c>
      <c r="F15" s="6">
        <f>ABS(Participants!F28-Participants!F29)</f>
        <v>1</v>
      </c>
      <c r="G15" s="6">
        <f>ABS(Participants!G28-Participants!G29)</f>
        <v>1</v>
      </c>
      <c r="H15" s="6">
        <f>ABS(Participants!H28-Participants!H29)</f>
        <v>0</v>
      </c>
    </row>
    <row r="16" spans="1:8">
      <c r="A16" s="2" t="s">
        <v>93</v>
      </c>
      <c r="B16" s="6">
        <f>ABS(Participants!B30-Participants!B31)</f>
        <v>1</v>
      </c>
      <c r="C16" s="6">
        <f>ABS(Participants!C30-Participants!C31)</f>
        <v>1</v>
      </c>
      <c r="D16" s="6">
        <f>ABS(Participants!D30-Participants!D31)</f>
        <v>1</v>
      </c>
      <c r="E16" s="6">
        <f>ABS(Participants!E30-Participants!E31)</f>
        <v>1</v>
      </c>
      <c r="F16" s="6">
        <f>ABS(Participants!F30-Participants!F31)</f>
        <v>3</v>
      </c>
      <c r="G16" s="6">
        <f>ABS(Participants!G30-Participants!G31)</f>
        <v>0</v>
      </c>
      <c r="H16" s="6">
        <f>ABS(Participants!H30-Participants!H31)</f>
        <v>0</v>
      </c>
    </row>
    <row r="17" spans="1:8">
      <c r="A17" s="2" t="s">
        <v>94</v>
      </c>
      <c r="B17" s="6">
        <f>ABS(Participants!B32-Participants!B33)</f>
        <v>1</v>
      </c>
      <c r="C17" s="6">
        <f>ABS(Participants!C32-Participants!C33)</f>
        <v>1</v>
      </c>
      <c r="D17" s="6">
        <f>ABS(Participants!D32-Participants!D33)</f>
        <v>1</v>
      </c>
      <c r="E17" s="6">
        <f>ABS(Participants!E32-Participants!E33)</f>
        <v>0</v>
      </c>
      <c r="F17" s="6">
        <f>ABS(Participants!F32-Participants!F33)</f>
        <v>1</v>
      </c>
      <c r="G17" s="6">
        <f>ABS(Participants!G32-Participants!G33)</f>
        <v>2</v>
      </c>
      <c r="H17" s="6">
        <f>ABS(Participants!H32-Participants!H33)</f>
        <v>0</v>
      </c>
    </row>
    <row r="18" spans="1:8">
      <c r="A18" s="2" t="s">
        <v>95</v>
      </c>
      <c r="B18" s="6">
        <f>ABS(Participants!B34-Participants!B35)</f>
        <v>0</v>
      </c>
      <c r="C18" s="6">
        <f>ABS(Participants!C34-Participants!C35)</f>
        <v>1</v>
      </c>
      <c r="D18" s="6">
        <f>ABS(Participants!D34-Participants!D35)</f>
        <v>0</v>
      </c>
      <c r="E18" s="6">
        <f>ABS(Participants!E34-Participants!E35)</f>
        <v>0</v>
      </c>
      <c r="F18" s="6">
        <f>ABS(Participants!F34-Participants!F35)</f>
        <v>0</v>
      </c>
      <c r="G18" s="6">
        <f>ABS(Participants!G34-Participants!G35)</f>
        <v>0</v>
      </c>
      <c r="H18" s="6">
        <f>ABS(Participants!H34-Participants!H35)</f>
        <v>0</v>
      </c>
    </row>
    <row r="19" spans="1:8">
      <c r="A19" s="2" t="s">
        <v>96</v>
      </c>
      <c r="B19" s="6">
        <f>ABS(Participants!B36-Participants!B37)</f>
        <v>0</v>
      </c>
      <c r="C19" s="6">
        <f>ABS(Participants!C36-Participants!C37)</f>
        <v>0</v>
      </c>
      <c r="D19" s="6">
        <f>ABS(Participants!D36-Participants!D37)</f>
        <v>0</v>
      </c>
      <c r="E19" s="6">
        <f>ABS(Participants!E36-Participants!E37)</f>
        <v>0</v>
      </c>
      <c r="F19" s="6">
        <f>ABS(Participants!F36-Participants!F37)</f>
        <v>0</v>
      </c>
      <c r="G19" s="6">
        <f>ABS(Participants!G36-Participants!G37)</f>
        <v>1</v>
      </c>
      <c r="H19" s="6">
        <f>ABS(Participants!H36-Participants!H37)</f>
        <v>0</v>
      </c>
    </row>
    <row r="20" spans="1:8">
      <c r="A20" s="2" t="s">
        <v>97</v>
      </c>
      <c r="B20" s="6">
        <f>ABS(Participants!B38-Participants!B39)</f>
        <v>0</v>
      </c>
      <c r="C20" s="6">
        <f>ABS(Participants!C38-Participants!C39)</f>
        <v>1</v>
      </c>
      <c r="D20" s="6">
        <f>ABS(Participants!D38-Participants!D39)</f>
        <v>1</v>
      </c>
      <c r="E20" s="6">
        <f>ABS(Participants!E38-Participants!E39)</f>
        <v>0</v>
      </c>
      <c r="F20" s="6">
        <f>ABS(Participants!F38-Participants!F39)</f>
        <v>1</v>
      </c>
      <c r="G20" s="6">
        <f>ABS(Participants!G38-Participants!G39)</f>
        <v>1</v>
      </c>
      <c r="H20" s="6">
        <f>ABS(Participants!H38-Participants!H39)</f>
        <v>0</v>
      </c>
    </row>
    <row r="21" spans="1:8">
      <c r="A21" s="2" t="s">
        <v>98</v>
      </c>
      <c r="B21" s="6">
        <f>ABS(Participants!B40-Participants!B41)</f>
        <v>2</v>
      </c>
      <c r="C21" s="6">
        <f>ABS(Participants!C40-Participants!C41)</f>
        <v>1</v>
      </c>
      <c r="D21" s="6">
        <f>ABS(Participants!D40-Participants!D41)</f>
        <v>1</v>
      </c>
      <c r="E21" s="6">
        <f>ABS(Participants!E40-Participants!E41)</f>
        <v>1</v>
      </c>
      <c r="F21" s="6">
        <f>ABS(Participants!F40-Participants!F41)</f>
        <v>0</v>
      </c>
      <c r="G21" s="6">
        <f>ABS(Participants!G40-Participants!G41)</f>
        <v>1</v>
      </c>
      <c r="H21" s="6">
        <f>ABS(Participants!H40-Participants!H41)</f>
        <v>1</v>
      </c>
    </row>
    <row r="22" spans="1:8">
      <c r="A22" s="2" t="s">
        <v>99</v>
      </c>
      <c r="B22" s="6">
        <f>ABS(Participants!B42-Participants!B43)</f>
        <v>0</v>
      </c>
      <c r="C22" s="6">
        <f>ABS(Participants!C42-Participants!C43)</f>
        <v>0</v>
      </c>
      <c r="D22" s="6">
        <f>ABS(Participants!D42-Participants!D43)</f>
        <v>1</v>
      </c>
      <c r="E22" s="6">
        <f>ABS(Participants!E42-Participants!E43)</f>
        <v>0</v>
      </c>
      <c r="F22" s="6">
        <f>ABS(Participants!F42-Participants!F43)</f>
        <v>1</v>
      </c>
      <c r="G22" s="6">
        <f>ABS(Participants!G42-Participants!G43)</f>
        <v>0</v>
      </c>
      <c r="H22" s="6">
        <f>ABS(Participants!H42-Participants!H43)</f>
        <v>0</v>
      </c>
    </row>
    <row r="23" spans="1:8">
      <c r="A23" s="2" t="s">
        <v>100</v>
      </c>
      <c r="B23" s="6">
        <f>ABS(Participants!B44-Participants!B45)</f>
        <v>1</v>
      </c>
      <c r="C23" s="6">
        <f>ABS(Participants!C44-Participants!C45)</f>
        <v>1</v>
      </c>
      <c r="D23" s="6">
        <f>ABS(Participants!D44-Participants!D45)</f>
        <v>2</v>
      </c>
      <c r="E23" s="6">
        <f>ABS(Participants!E44-Participants!E45)</f>
        <v>0</v>
      </c>
      <c r="F23" s="6">
        <f>ABS(Participants!F44-Participants!F45)</f>
        <v>0</v>
      </c>
      <c r="G23" s="6">
        <f>ABS(Participants!G44-Participants!G45)</f>
        <v>1</v>
      </c>
      <c r="H23" s="6">
        <f>ABS(Participants!H44-Participants!H45)</f>
        <v>0</v>
      </c>
    </row>
    <row r="24" spans="1:8">
      <c r="A24" s="2" t="s">
        <v>101</v>
      </c>
      <c r="B24" s="6">
        <f>ABS(Participants!B46-Participants!B47)</f>
        <v>1</v>
      </c>
      <c r="C24" s="6">
        <f>ABS(Participants!C46-Participants!C47)</f>
        <v>0</v>
      </c>
      <c r="D24" s="6">
        <f>ABS(Participants!D46-Participants!D47)</f>
        <v>1</v>
      </c>
      <c r="E24" s="6">
        <f>ABS(Participants!E46-Participants!E47)</f>
        <v>3</v>
      </c>
      <c r="F24" s="6">
        <f>ABS(Participants!F46-Participants!F47)</f>
        <v>1</v>
      </c>
      <c r="G24" s="6">
        <f>ABS(Participants!G46-Participants!G47)</f>
        <v>2</v>
      </c>
      <c r="H24" s="6">
        <f>ABS(Participants!H46-Participants!H47)</f>
        <v>1</v>
      </c>
    </row>
    <row r="25" spans="1:8">
      <c r="A25" s="2" t="s">
        <v>102</v>
      </c>
      <c r="B25" s="6">
        <f>ABS(Participants!B48-Participants!B49)</f>
        <v>1</v>
      </c>
      <c r="C25" s="6">
        <f>ABS(Participants!C48-Participants!C49)</f>
        <v>0</v>
      </c>
      <c r="D25" s="6">
        <f>ABS(Participants!D48-Participants!D49)</f>
        <v>1</v>
      </c>
      <c r="E25" s="6">
        <f>ABS(Participants!E48-Participants!E49)</f>
        <v>1</v>
      </c>
      <c r="F25" s="6">
        <f>ABS(Participants!F48-Participants!F49)</f>
        <v>1</v>
      </c>
      <c r="G25" s="6">
        <f>ABS(Participants!G48-Participants!G49)</f>
        <v>0</v>
      </c>
      <c r="H25" s="6">
        <f>ABS(Participants!H48-Participants!H49)</f>
        <v>0</v>
      </c>
    </row>
    <row r="26" spans="1:8">
      <c r="A26" s="2" t="s">
        <v>103</v>
      </c>
      <c r="B26" s="6">
        <f>ABS(Participants!B50-Participants!B51)</f>
        <v>1</v>
      </c>
      <c r="C26" s="6">
        <f>ABS(Participants!C50-Participants!C51)</f>
        <v>1</v>
      </c>
      <c r="D26" s="6">
        <f>ABS(Participants!D50-Participants!D51)</f>
        <v>1</v>
      </c>
      <c r="E26" s="6">
        <f>ABS(Participants!E50-Participants!E51)</f>
        <v>1</v>
      </c>
      <c r="F26" s="6">
        <f>ABS(Participants!F50-Participants!F51)</f>
        <v>0</v>
      </c>
      <c r="G26" s="6">
        <f>ABS(Participants!G50-Participants!G51)</f>
        <v>1</v>
      </c>
      <c r="H26" s="6">
        <f>ABS(Participants!H50-Participants!H51)</f>
        <v>1</v>
      </c>
    </row>
    <row r="27" spans="1:8">
      <c r="A27" s="2" t="s">
        <v>104</v>
      </c>
      <c r="B27" s="6">
        <f>ABS(Participants!B52-Participants!B53)</f>
        <v>1</v>
      </c>
      <c r="C27" s="6">
        <f>ABS(Participants!C52-Participants!C53)</f>
        <v>1</v>
      </c>
      <c r="D27" s="6">
        <f>ABS(Participants!D52-Participants!D53)</f>
        <v>1</v>
      </c>
      <c r="E27" s="6">
        <f>ABS(Participants!E52-Participants!E53)</f>
        <v>1</v>
      </c>
      <c r="F27" s="6">
        <f>ABS(Participants!F52-Participants!F53)</f>
        <v>1</v>
      </c>
      <c r="G27" s="6">
        <f>ABS(Participants!G52-Participants!G53)</f>
        <v>1</v>
      </c>
      <c r="H27" s="6">
        <f>ABS(Participants!H52-Participants!H53)</f>
        <v>0</v>
      </c>
    </row>
    <row r="28" spans="1:8">
      <c r="A28" s="2" t="s">
        <v>105</v>
      </c>
      <c r="B28" s="6">
        <f>ABS(Participants!B54-Participants!B55)</f>
        <v>1</v>
      </c>
      <c r="C28" s="6">
        <f>ABS(Participants!C54-Participants!C55)</f>
        <v>1</v>
      </c>
      <c r="D28" s="6">
        <f>ABS(Participants!D54-Participants!D55)</f>
        <v>2</v>
      </c>
      <c r="E28" s="6">
        <f>ABS(Participants!E54-Participants!E55)</f>
        <v>0</v>
      </c>
      <c r="F28" s="6">
        <f>ABS(Participants!F54-Participants!F55)</f>
        <v>0</v>
      </c>
      <c r="G28" s="6">
        <f>ABS(Participants!G54-Participants!G55)</f>
        <v>1</v>
      </c>
      <c r="H28" s="6">
        <f>ABS(Participants!H54-Participants!H55)</f>
        <v>0</v>
      </c>
    </row>
    <row r="29" spans="1:8">
      <c r="A29" s="2" t="s">
        <v>106</v>
      </c>
      <c r="B29" s="6">
        <f>ABS(Participants!B56-Participants!B57)</f>
        <v>1</v>
      </c>
      <c r="C29" s="6">
        <f>ABS(Participants!C56-Participants!C57)</f>
        <v>0</v>
      </c>
      <c r="D29" s="6">
        <f>ABS(Participants!D56-Participants!D57)</f>
        <v>1</v>
      </c>
      <c r="E29" s="6">
        <f>ABS(Participants!E56-Participants!E57)</f>
        <v>0</v>
      </c>
      <c r="F29" s="6">
        <f>ABS(Participants!F56-Participants!F57)</f>
        <v>0</v>
      </c>
      <c r="G29" s="6">
        <f>ABS(Participants!G56-Participants!G57)</f>
        <v>1</v>
      </c>
      <c r="H29" s="6">
        <f>ABS(Participants!H56-Participants!H57)</f>
        <v>0</v>
      </c>
    </row>
    <row r="30" spans="1:8">
      <c r="A30" s="2" t="s">
        <v>107</v>
      </c>
      <c r="B30" s="6">
        <f>ABS(Participants!B58-Participants!B59)</f>
        <v>1</v>
      </c>
      <c r="C30" s="6">
        <f>ABS(Participants!C58-Participants!C59)</f>
        <v>1</v>
      </c>
      <c r="D30" s="6">
        <f>ABS(Participants!D58-Participants!D59)</f>
        <v>1</v>
      </c>
      <c r="E30" s="6">
        <f>ABS(Participants!E58-Participants!E59)</f>
        <v>1</v>
      </c>
      <c r="F30" s="6">
        <f>ABS(Participants!F58-Participants!F59)</f>
        <v>3</v>
      </c>
      <c r="G30" s="6">
        <f>ABS(Participants!G58-Participants!G59)</f>
        <v>1</v>
      </c>
      <c r="H30" s="6">
        <f>ABS(Participants!H58-Participants!H59)</f>
        <v>0</v>
      </c>
    </row>
    <row r="31" spans="1:8">
      <c r="A31" s="2" t="s">
        <v>108</v>
      </c>
      <c r="B31" s="6">
        <f>ABS(Participants!B60-Participants!B61)</f>
        <v>0</v>
      </c>
      <c r="C31" s="6">
        <f>ABS(Participants!C60-Participants!C61)</f>
        <v>0</v>
      </c>
      <c r="D31" s="6">
        <f>ABS(Participants!D60-Participants!D61)</f>
        <v>0</v>
      </c>
      <c r="E31" s="6">
        <f>ABS(Participants!E60-Participants!E61)</f>
        <v>0</v>
      </c>
      <c r="F31" s="6">
        <f>ABS(Participants!F60-Participants!F61)</f>
        <v>1</v>
      </c>
      <c r="G31" s="6">
        <f>ABS(Participants!G60-Participants!G61)</f>
        <v>0</v>
      </c>
      <c r="H31" s="6">
        <f>ABS(Participants!H60-Participants!H61)</f>
        <v>0</v>
      </c>
    </row>
    <row r="32" spans="1:8">
      <c r="A32" s="2" t="s">
        <v>109</v>
      </c>
      <c r="B32" s="6">
        <f>ABS(Participants!B62-Participants!B63)</f>
        <v>1</v>
      </c>
      <c r="C32" s="6">
        <f>ABS(Participants!C62-Participants!C63)</f>
        <v>0</v>
      </c>
      <c r="D32" s="6">
        <f>ABS(Participants!D62-Participants!D63)</f>
        <v>1</v>
      </c>
      <c r="E32" s="6">
        <f>ABS(Participants!E62-Participants!E63)</f>
        <v>0</v>
      </c>
      <c r="F32" s="6">
        <f>ABS(Participants!F62-Participants!F63)</f>
        <v>0</v>
      </c>
      <c r="G32" s="6">
        <f>ABS(Participants!G62-Participants!G63)</f>
        <v>1</v>
      </c>
      <c r="H32" s="6">
        <f>ABS(Participants!H62-Participants!H63)</f>
        <v>0</v>
      </c>
    </row>
    <row r="33" spans="1:8">
      <c r="A33" s="2" t="s">
        <v>110</v>
      </c>
      <c r="B33" s="6">
        <f>ABS(Participants!B64-Participants!B65)</f>
        <v>1</v>
      </c>
      <c r="C33" s="6">
        <f>ABS(Participants!C64-Participants!C65)</f>
        <v>1</v>
      </c>
      <c r="D33" s="6">
        <f>ABS(Participants!D64-Participants!D65)</f>
        <v>1</v>
      </c>
      <c r="E33" s="6">
        <f>ABS(Participants!E64-Participants!E65)</f>
        <v>1</v>
      </c>
      <c r="F33" s="6">
        <f>ABS(Participants!F64-Participants!F65)</f>
        <v>0</v>
      </c>
      <c r="G33" s="6">
        <f>ABS(Participants!G64-Participants!G65)</f>
        <v>1</v>
      </c>
      <c r="H33" s="6">
        <f>ABS(Participants!H64-Participants!H65)</f>
        <v>1</v>
      </c>
    </row>
    <row r="34" spans="1:8">
      <c r="A34" s="2" t="s">
        <v>111</v>
      </c>
      <c r="B34" s="6">
        <f>ABS(Participants!B66-Participants!B67)</f>
        <v>1</v>
      </c>
      <c r="C34" s="6">
        <f>ABS(Participants!C66-Participants!C67)</f>
        <v>0</v>
      </c>
      <c r="D34" s="6">
        <f>ABS(Participants!D66-Participants!D67)</f>
        <v>0</v>
      </c>
      <c r="E34" s="6">
        <f>ABS(Participants!E66-Participants!E67)</f>
        <v>1</v>
      </c>
      <c r="F34" s="6">
        <f>ABS(Participants!F66-Participants!F67)</f>
        <v>1</v>
      </c>
      <c r="G34" s="6">
        <f>ABS(Participants!G66-Participants!G67)</f>
        <v>1</v>
      </c>
      <c r="H34" s="6">
        <f>ABS(Participants!H66-Participants!H67)</f>
        <v>0</v>
      </c>
    </row>
    <row r="35" spans="1:8">
      <c r="A35" s="2" t="s">
        <v>112</v>
      </c>
      <c r="B35" s="6">
        <f>ABS(Participants!B68-Participants!B69)</f>
        <v>1</v>
      </c>
      <c r="C35" s="6">
        <f>ABS(Participants!C68-Participants!C69)</f>
        <v>2</v>
      </c>
      <c r="D35" s="6">
        <f>ABS(Participants!D68-Participants!D69)</f>
        <v>2</v>
      </c>
      <c r="E35" s="6">
        <f>ABS(Participants!E68-Participants!E69)</f>
        <v>1</v>
      </c>
      <c r="F35" s="6">
        <f>ABS(Participants!F68-Participants!F69)</f>
        <v>1</v>
      </c>
      <c r="G35" s="6">
        <f>ABS(Participants!G68-Participants!G69)</f>
        <v>2</v>
      </c>
      <c r="H35" s="6">
        <f>ABS(Participants!H68-Participants!H69)</f>
        <v>0</v>
      </c>
    </row>
    <row r="36" spans="1:8">
      <c r="A36" s="2" t="s">
        <v>113</v>
      </c>
      <c r="B36" s="6">
        <f>ABS(Participants!B70-Participants!B71)</f>
        <v>1</v>
      </c>
      <c r="C36" s="6">
        <f>ABS(Participants!C70-Participants!C71)</f>
        <v>1</v>
      </c>
      <c r="D36" s="6">
        <f>ABS(Participants!D70-Participants!D71)</f>
        <v>2</v>
      </c>
      <c r="E36" s="6">
        <f>ABS(Participants!E70-Participants!E71)</f>
        <v>0</v>
      </c>
      <c r="F36" s="6">
        <f>ABS(Participants!F70-Participants!F71)</f>
        <v>0</v>
      </c>
      <c r="G36" s="6">
        <f>ABS(Participants!G70-Participants!G71)</f>
        <v>1</v>
      </c>
      <c r="H36" s="6">
        <f>ABS(Participants!H70-Participants!H71)</f>
        <v>2</v>
      </c>
    </row>
    <row r="38" spans="1:8">
      <c r="A38" t="s">
        <v>123</v>
      </c>
      <c r="B38">
        <f>AVERAGE(DyadDisagreementTable[Q1])</f>
        <v>1.0285714285714285</v>
      </c>
      <c r="C38">
        <f>AVERAGE(DyadDisagreementTable[Q2])</f>
        <v>0.68571428571428572</v>
      </c>
      <c r="D38">
        <f>AVERAGE(DyadDisagreementTable[Q3])</f>
        <v>0.91428571428571426</v>
      </c>
      <c r="E38">
        <f>AVERAGE(DyadDisagreementTable[Q4])</f>
        <v>0.51428571428571423</v>
      </c>
      <c r="F38">
        <f>AVERAGE(DyadDisagreementTable[Q5])</f>
        <v>0.68571428571428572</v>
      </c>
      <c r="G38">
        <f>AVERAGE(DyadDisagreementTable[Q6])</f>
        <v>0.82857142857142863</v>
      </c>
      <c r="H38">
        <f>AVERAGE(DyadDisagreementTable[Q7])</f>
        <v>0.34285714285714286</v>
      </c>
    </row>
    <row r="39" spans="1:8">
      <c r="A39" t="s">
        <v>124</v>
      </c>
      <c r="B39">
        <f>STDEVA(DyadDisagreementTable[Q1])</f>
        <v>0.78537043660241979</v>
      </c>
      <c r="C39">
        <f>STDEVA(DyadDisagreementTable[Q2])</f>
        <v>0.63112544532057369</v>
      </c>
      <c r="D39">
        <f>STDEVA(DyadDisagreementTable[Q3])</f>
        <v>0.61220087876969476</v>
      </c>
      <c r="E39">
        <f>STDEVA(DyadDisagreementTable[Q4])</f>
        <v>0.65849331460399141</v>
      </c>
      <c r="F39">
        <f>STDEVA(DyadDisagreementTable[Q5])</f>
        <v>0.79599839533641736</v>
      </c>
      <c r="G39">
        <f>STDEVA(DyadDisagreementTable[Q6])</f>
        <v>0.61766706650267245</v>
      </c>
      <c r="H39">
        <f>STDEVA(DyadDisagreementTable[Q7])</f>
        <v>0.53921823274163161</v>
      </c>
    </row>
  </sheetData>
  <conditionalFormatting sqref="B2:H36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" defaultRowHeight="13.5"/>
  <cols>
    <col min="1" max="1" width="22" customWidth="1"/>
    <col min="2" max="2" width="90" customWidth="1"/>
  </cols>
  <sheetData>
    <row r="1" spans="1:2" ht="13.9">
      <c r="A1" s="7" t="s">
        <v>114</v>
      </c>
      <c r="B1" s="7" t="s">
        <v>115</v>
      </c>
    </row>
    <row r="2" spans="1:2">
      <c r="A2" t="s">
        <v>116</v>
      </c>
      <c r="B2" s="8" t="s">
        <v>117</v>
      </c>
    </row>
    <row r="3" spans="1:2">
      <c r="A3" t="s">
        <v>118</v>
      </c>
      <c r="B3" s="8" t="s">
        <v>119</v>
      </c>
    </row>
    <row r="4" spans="1:2" ht="27">
      <c r="A4" t="s">
        <v>120</v>
      </c>
      <c r="B4" s="8" t="s">
        <v>121</v>
      </c>
    </row>
    <row r="5" spans="1:2" ht="27">
      <c r="A5" t="s">
        <v>5</v>
      </c>
      <c r="B5" s="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Participants</vt:lpstr>
      <vt:lpstr>Dyad scores</vt:lpstr>
      <vt:lpstr>Absolute disagreement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PEREZ-FERNANDEZ</cp:lastModifiedBy>
  <dcterms:modified xsi:type="dcterms:W3CDTF">2026-08-04T13:32:20Z</dcterms:modified>
</cp:coreProperties>
</file>